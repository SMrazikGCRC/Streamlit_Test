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smrazik\Desktop\Estimates\"/>
    </mc:Choice>
  </mc:AlternateContent>
  <xr:revisionPtr revIDLastSave="0" documentId="13_ncr:1_{513137F4-D2EB-4DE4-A28C-7B5BC71B5D7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38" r:id="rId1"/>
    <sheet name="Limestone" sheetId="36" r:id="rId2"/>
    <sheet name="Equipment Rates" sheetId="39" r:id="rId3"/>
  </sheets>
  <definedNames>
    <definedName name="_xlnm._FilterDatabase" localSheetId="1" hidden="1">Limestone!$A$1:$N$34</definedName>
    <definedName name="_xlnm.Print_Area" localSheetId="1">Limestone!$A$1:$N$50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36" l="1" a="1"/>
  <c r="F39" i="36" s="1"/>
  <c r="F47" i="36" s="1"/>
  <c r="F45" i="36"/>
  <c r="F44" i="36"/>
  <c r="F43" i="36"/>
  <c r="F42" i="36"/>
  <c r="E27" i="36"/>
  <c r="E22" i="36"/>
  <c r="E23" i="36"/>
  <c r="E24" i="36"/>
  <c r="E25" i="36"/>
  <c r="E26" i="36"/>
  <c r="E28" i="36"/>
  <c r="E29" i="36"/>
  <c r="E30" i="36"/>
  <c r="E31" i="36"/>
  <c r="E32" i="36"/>
  <c r="E33" i="36"/>
  <c r="E34" i="36"/>
  <c r="E35" i="36"/>
  <c r="E36" i="36"/>
  <c r="E37" i="36"/>
  <c r="E21" i="36"/>
  <c r="J1457" i="39" l="1"/>
  <c r="J1456" i="39"/>
  <c r="J1455" i="39"/>
  <c r="J1454" i="39"/>
  <c r="J1453" i="39"/>
  <c r="J1452" i="39"/>
  <c r="J1451" i="39"/>
  <c r="J1450" i="39"/>
  <c r="J1449" i="39"/>
  <c r="J1448" i="39"/>
  <c r="J1447" i="39"/>
  <c r="J1446" i="39"/>
  <c r="J1445" i="39"/>
  <c r="J1444" i="39"/>
  <c r="J1443" i="39"/>
  <c r="J1442" i="39"/>
  <c r="J1441" i="39"/>
  <c r="J1440" i="39"/>
  <c r="J1439" i="39"/>
  <c r="J1438" i="39"/>
  <c r="J1437" i="39"/>
  <c r="J1436" i="39"/>
  <c r="J1435" i="39"/>
  <c r="J1434" i="39"/>
  <c r="J1433" i="39"/>
  <c r="J1432" i="39"/>
  <c r="J1431" i="39"/>
  <c r="J1430" i="39"/>
  <c r="J1429" i="39"/>
  <c r="J1428" i="39"/>
  <c r="J1427" i="39"/>
  <c r="J1426" i="39"/>
  <c r="J1425" i="39"/>
  <c r="J1424" i="39"/>
  <c r="J1423" i="39"/>
  <c r="J1422" i="39"/>
  <c r="J1421" i="39"/>
  <c r="J1420" i="39"/>
  <c r="J1419" i="39"/>
  <c r="J1418" i="39"/>
  <c r="J1417" i="39"/>
  <c r="J1416" i="39"/>
  <c r="J1415" i="39"/>
  <c r="J1414" i="39"/>
  <c r="J1413" i="39"/>
  <c r="J1412" i="39"/>
  <c r="J1411" i="39"/>
  <c r="J1410" i="39"/>
  <c r="J1409" i="39"/>
  <c r="J1408" i="39"/>
  <c r="J1407" i="39"/>
  <c r="J1406" i="39"/>
  <c r="J1405" i="39"/>
  <c r="J1404" i="39"/>
  <c r="J1403" i="39"/>
  <c r="J1402" i="39"/>
  <c r="J1401" i="39"/>
  <c r="J1400" i="39"/>
  <c r="J1399" i="39"/>
  <c r="J1398" i="39"/>
  <c r="J1397" i="39"/>
  <c r="J1396" i="39"/>
  <c r="J1395" i="39"/>
  <c r="J1394" i="39"/>
  <c r="J1393" i="39"/>
  <c r="J1392" i="39"/>
  <c r="J1391" i="39"/>
  <c r="J1390" i="39"/>
  <c r="J1389" i="39"/>
  <c r="J1388" i="39"/>
  <c r="J1387" i="39"/>
  <c r="J1386" i="39"/>
  <c r="J1385" i="39"/>
  <c r="J1384" i="39"/>
  <c r="J1383" i="39"/>
  <c r="J1382" i="39"/>
  <c r="J1381" i="39"/>
  <c r="J1380" i="39"/>
  <c r="J1379" i="39"/>
  <c r="J1378" i="39"/>
  <c r="J1377" i="39"/>
  <c r="J1376" i="39"/>
  <c r="J1375" i="39"/>
  <c r="J1374" i="39"/>
  <c r="J1373" i="39"/>
  <c r="J1372" i="39"/>
  <c r="J1371" i="39"/>
  <c r="J1370" i="39"/>
  <c r="J1369" i="39"/>
  <c r="J1368" i="39"/>
  <c r="J1367" i="39"/>
  <c r="J1366" i="39"/>
  <c r="J1365" i="39"/>
  <c r="J1364" i="39"/>
  <c r="J1363" i="39"/>
  <c r="J1362" i="39"/>
  <c r="J1361" i="39"/>
  <c r="J1360" i="39"/>
  <c r="J1359" i="39"/>
  <c r="J1358" i="39"/>
  <c r="J1357" i="39"/>
  <c r="J1356" i="39"/>
  <c r="J1355" i="39"/>
  <c r="J1354" i="39"/>
  <c r="J1353" i="39"/>
  <c r="J1352" i="39"/>
  <c r="J1351" i="39"/>
  <c r="J1350" i="39"/>
  <c r="J1349" i="39"/>
  <c r="J1348" i="39"/>
  <c r="J1347" i="39"/>
  <c r="J1346" i="39"/>
  <c r="J1345" i="39"/>
  <c r="J1344" i="39"/>
  <c r="J1343" i="39"/>
  <c r="J1342" i="39"/>
  <c r="J1341" i="39"/>
  <c r="J1340" i="39"/>
  <c r="J1339" i="39"/>
  <c r="J1338" i="39"/>
  <c r="J1337" i="39"/>
  <c r="J1336" i="39"/>
  <c r="J1335" i="39"/>
  <c r="J1334" i="39"/>
  <c r="J1333" i="39"/>
  <c r="J1332" i="39"/>
  <c r="J1331" i="39"/>
  <c r="J1330" i="39"/>
  <c r="J1329" i="39"/>
  <c r="J1328" i="39"/>
  <c r="J1327" i="39"/>
  <c r="J1326" i="39"/>
  <c r="J1325" i="39"/>
  <c r="J1324" i="39"/>
  <c r="J1323" i="39"/>
  <c r="J1322" i="39"/>
  <c r="J1321" i="39"/>
  <c r="J1320" i="39"/>
  <c r="J1319" i="39"/>
  <c r="J1318" i="39"/>
  <c r="J1317" i="39"/>
  <c r="J1316" i="39"/>
  <c r="J1315" i="39"/>
  <c r="J1314" i="39"/>
  <c r="J1313" i="39"/>
  <c r="J1312" i="39"/>
  <c r="J1311" i="39"/>
  <c r="J1310" i="39"/>
  <c r="J1309" i="39"/>
  <c r="J1308" i="39"/>
  <c r="J1307" i="39"/>
  <c r="J1306" i="39"/>
  <c r="J1305" i="39"/>
  <c r="J1304" i="39"/>
  <c r="J1303" i="39"/>
  <c r="J1302" i="39"/>
  <c r="J1301" i="39"/>
  <c r="J1300" i="39"/>
  <c r="J1299" i="39"/>
  <c r="J1298" i="39"/>
  <c r="J1297" i="39"/>
  <c r="J1296" i="39"/>
  <c r="J1295" i="39"/>
  <c r="J1294" i="39"/>
  <c r="J1293" i="39"/>
  <c r="J1292" i="39"/>
  <c r="J1291" i="39"/>
  <c r="J1290" i="39"/>
  <c r="J1289" i="39"/>
  <c r="J1288" i="39"/>
  <c r="J1287" i="39"/>
  <c r="J1286" i="39"/>
  <c r="J1285" i="39"/>
  <c r="J1284" i="39"/>
  <c r="J1283" i="39"/>
  <c r="J1282" i="39"/>
  <c r="J1281" i="39"/>
  <c r="J1280" i="39"/>
  <c r="J1279" i="39"/>
  <c r="J1278" i="39"/>
  <c r="J1277" i="39"/>
  <c r="J1276" i="39"/>
  <c r="J1275" i="39"/>
  <c r="J1274" i="39"/>
  <c r="J1273" i="39"/>
  <c r="J1272" i="39"/>
  <c r="J1271" i="39"/>
  <c r="J1270" i="39"/>
  <c r="J1269" i="39"/>
  <c r="J1268" i="39"/>
  <c r="J1267" i="39"/>
  <c r="J1266" i="39"/>
  <c r="J1265" i="39"/>
  <c r="J1264" i="39"/>
  <c r="J1263" i="39"/>
  <c r="J1262" i="39"/>
  <c r="J1261" i="39"/>
  <c r="J1260" i="39"/>
  <c r="J1259" i="39"/>
  <c r="J1258" i="39"/>
  <c r="J1257" i="39"/>
  <c r="J1256" i="39"/>
  <c r="J1255" i="39"/>
  <c r="J1254" i="39"/>
  <c r="J1253" i="39"/>
  <c r="J1252" i="39"/>
  <c r="J1251" i="39"/>
  <c r="J1250" i="39"/>
  <c r="J1249" i="39"/>
  <c r="J1248" i="39"/>
  <c r="J1247" i="39"/>
  <c r="J1246" i="39"/>
  <c r="J1245" i="39"/>
  <c r="J1244" i="39"/>
  <c r="J1243" i="39"/>
  <c r="J1242" i="39"/>
  <c r="J1241" i="39"/>
  <c r="J1240" i="39"/>
  <c r="J1239" i="39"/>
  <c r="J1238" i="39"/>
  <c r="J1237" i="39"/>
  <c r="J1236" i="39"/>
  <c r="J1235" i="39"/>
  <c r="J1234" i="39"/>
  <c r="J1233" i="39"/>
  <c r="J1232" i="39"/>
  <c r="J1231" i="39"/>
  <c r="J1230" i="39"/>
  <c r="J1229" i="39"/>
  <c r="J1228" i="39"/>
  <c r="J1227" i="39"/>
  <c r="J1226" i="39"/>
  <c r="J1225" i="39"/>
  <c r="J1224" i="39"/>
  <c r="J1223" i="39"/>
  <c r="J1222" i="39"/>
  <c r="J1221" i="39"/>
  <c r="J1220" i="39"/>
  <c r="J1219" i="39"/>
  <c r="J1218" i="39"/>
  <c r="J1217" i="39"/>
  <c r="J1216" i="39"/>
  <c r="J1215" i="39"/>
  <c r="J1214" i="39"/>
  <c r="J1213" i="39"/>
  <c r="J1212" i="39"/>
  <c r="J1211" i="39"/>
  <c r="J1210" i="39"/>
  <c r="J1209" i="39"/>
  <c r="J1208" i="39"/>
  <c r="J1207" i="39"/>
  <c r="J1206" i="39"/>
  <c r="J1205" i="39"/>
  <c r="J1204" i="39"/>
  <c r="J1203" i="39"/>
  <c r="J1202" i="39"/>
  <c r="J1201" i="39"/>
  <c r="J1200" i="39"/>
  <c r="J1199" i="39"/>
  <c r="J1198" i="39"/>
  <c r="J1197" i="39"/>
  <c r="J1196" i="39"/>
  <c r="J1195" i="39"/>
  <c r="J1194" i="39"/>
  <c r="J1193" i="39"/>
  <c r="J1192" i="39"/>
  <c r="J1191" i="39"/>
  <c r="J1190" i="39"/>
  <c r="J1189" i="39"/>
  <c r="J1188" i="39"/>
  <c r="J1187" i="39"/>
  <c r="J1186" i="39"/>
  <c r="J1185" i="39"/>
  <c r="J1184" i="39"/>
  <c r="J1183" i="39"/>
  <c r="J1182" i="39"/>
  <c r="J1181" i="39"/>
  <c r="J1180" i="39"/>
  <c r="J1179" i="39"/>
  <c r="J1178" i="39"/>
  <c r="J1177" i="39"/>
  <c r="J1176" i="39"/>
  <c r="J1175" i="39"/>
  <c r="J1174" i="39"/>
  <c r="J1173" i="39"/>
  <c r="J1172" i="39"/>
  <c r="J1171" i="39"/>
  <c r="J1170" i="39"/>
  <c r="J1169" i="39"/>
  <c r="J1168" i="39"/>
  <c r="J1167" i="39"/>
  <c r="J1166" i="39"/>
  <c r="J1165" i="39"/>
  <c r="J1164" i="39"/>
  <c r="J1163" i="39"/>
  <c r="J1162" i="39"/>
  <c r="J1161" i="39"/>
  <c r="J1160" i="39"/>
  <c r="J1159" i="39"/>
  <c r="J1158" i="39"/>
  <c r="J1157" i="39"/>
  <c r="J1156" i="39"/>
  <c r="J1155" i="39"/>
  <c r="J1154" i="39"/>
  <c r="J1153" i="39"/>
  <c r="J1152" i="39"/>
  <c r="J1151" i="39"/>
  <c r="J1150" i="39"/>
  <c r="J1149" i="39"/>
  <c r="J1148" i="39"/>
  <c r="J1147" i="39"/>
  <c r="J1146" i="39"/>
  <c r="J1145" i="39"/>
  <c r="J1144" i="39"/>
  <c r="J1143" i="39"/>
  <c r="J1142" i="39"/>
  <c r="J1141" i="39"/>
  <c r="J1140" i="39"/>
  <c r="J1139" i="39"/>
  <c r="J1138" i="39"/>
  <c r="J1137" i="39"/>
  <c r="J1136" i="39"/>
  <c r="J1135" i="39"/>
  <c r="J1134" i="39"/>
  <c r="J1133" i="39"/>
  <c r="J1132" i="39"/>
  <c r="J1131" i="39"/>
  <c r="J1130" i="39"/>
  <c r="J1129" i="39"/>
  <c r="J1128" i="39"/>
  <c r="J1127" i="39"/>
  <c r="J1126" i="39"/>
  <c r="J1125" i="39"/>
  <c r="J1124" i="39"/>
  <c r="J1123" i="39"/>
  <c r="J1122" i="39"/>
  <c r="J1121" i="39"/>
  <c r="J1120" i="39"/>
  <c r="J1119" i="39"/>
  <c r="J1118" i="39"/>
  <c r="J1117" i="39"/>
  <c r="J1116" i="39"/>
  <c r="J1115" i="39"/>
  <c r="J1114" i="39"/>
  <c r="J1113" i="39"/>
  <c r="J1112" i="39"/>
  <c r="J1111" i="39"/>
  <c r="J1110" i="39"/>
  <c r="J1109" i="39"/>
  <c r="J1108" i="39"/>
  <c r="J1107" i="39"/>
  <c r="J1106" i="39"/>
  <c r="J1105" i="39"/>
  <c r="J1104" i="39"/>
  <c r="J1103" i="39"/>
  <c r="J1102" i="39"/>
  <c r="J1101" i="39"/>
  <c r="J1100" i="39"/>
  <c r="J1099" i="39"/>
  <c r="J1098" i="39"/>
  <c r="J1097" i="39"/>
  <c r="J1096" i="39"/>
  <c r="J1095" i="39"/>
  <c r="J1094" i="39"/>
  <c r="J1093" i="39"/>
  <c r="J1092" i="39"/>
  <c r="J1091" i="39"/>
  <c r="J1090" i="39"/>
  <c r="J1089" i="39"/>
  <c r="J1088" i="39"/>
  <c r="J1087" i="39"/>
  <c r="J1086" i="39"/>
  <c r="J1085" i="39"/>
  <c r="J1084" i="39"/>
  <c r="J1083" i="39"/>
  <c r="J1082" i="39"/>
  <c r="J1081" i="39"/>
  <c r="J1080" i="39"/>
  <c r="J1079" i="39"/>
  <c r="J1078" i="39"/>
  <c r="J1077" i="39"/>
  <c r="J1076" i="39"/>
  <c r="J1075" i="39"/>
  <c r="J1074" i="39"/>
  <c r="J1073" i="39"/>
  <c r="J1072" i="39"/>
  <c r="J1071" i="39"/>
  <c r="J1070" i="39"/>
  <c r="J1069" i="39"/>
  <c r="J1068" i="39"/>
  <c r="J1067" i="39"/>
  <c r="J1066" i="39"/>
  <c r="J1065" i="39"/>
  <c r="J1064" i="39"/>
  <c r="J1063" i="39"/>
  <c r="J1062" i="39"/>
  <c r="J1061" i="39"/>
  <c r="J1060" i="39"/>
  <c r="J1059" i="39"/>
  <c r="J1058" i="39"/>
  <c r="J1057" i="39"/>
  <c r="J1056" i="39"/>
  <c r="J1055" i="39"/>
  <c r="J1054" i="39"/>
  <c r="J1053" i="39"/>
  <c r="J1052" i="39"/>
  <c r="J1051" i="39"/>
  <c r="J1050" i="39"/>
  <c r="J1049" i="39"/>
  <c r="J1048" i="39"/>
  <c r="J1047" i="39"/>
  <c r="J1046" i="39"/>
  <c r="J1045" i="39"/>
  <c r="J1044" i="39"/>
  <c r="J1043" i="39"/>
  <c r="J1042" i="39"/>
  <c r="J1041" i="39"/>
  <c r="J1040" i="39"/>
  <c r="J1039" i="39"/>
  <c r="J1038" i="39"/>
  <c r="J1037" i="39"/>
  <c r="J1036" i="39"/>
  <c r="J1035" i="39"/>
  <c r="J1034" i="39"/>
  <c r="J1033" i="39"/>
  <c r="J1032" i="39"/>
  <c r="G1032" i="39"/>
  <c r="J1031" i="39"/>
  <c r="G1031" i="39"/>
  <c r="J1030" i="39"/>
  <c r="G1030" i="39"/>
  <c r="J1029" i="39"/>
  <c r="G1029" i="39"/>
  <c r="J1028" i="39"/>
  <c r="G1028" i="39"/>
  <c r="J1027" i="39"/>
  <c r="G1027" i="39"/>
  <c r="J1026" i="39"/>
  <c r="G1026" i="39"/>
  <c r="J1025" i="39"/>
  <c r="G1025" i="39"/>
  <c r="J1024" i="39"/>
  <c r="G1024" i="39"/>
  <c r="J1023" i="39"/>
  <c r="G1023" i="39"/>
  <c r="J1022" i="39"/>
  <c r="G1022" i="39"/>
  <c r="J1021" i="39"/>
  <c r="G1021" i="39"/>
  <c r="J1020" i="39"/>
  <c r="G1020" i="39"/>
  <c r="J1019" i="39"/>
  <c r="G1019" i="39"/>
  <c r="J1018" i="39"/>
  <c r="G1018" i="39"/>
  <c r="J1017" i="39"/>
  <c r="G1017" i="39"/>
  <c r="J1016" i="39"/>
  <c r="G1016" i="39"/>
  <c r="J1015" i="39"/>
  <c r="G1015" i="39"/>
  <c r="J1014" i="39"/>
  <c r="G1014" i="39"/>
  <c r="J1013" i="39"/>
  <c r="G1013" i="39"/>
  <c r="J1012" i="39"/>
  <c r="G1012" i="39"/>
  <c r="J1011" i="39"/>
  <c r="G1011" i="39"/>
  <c r="J1010" i="39"/>
  <c r="G1010" i="39"/>
  <c r="J1009" i="39"/>
  <c r="G1009" i="39"/>
  <c r="J1008" i="39"/>
  <c r="G1008" i="39"/>
  <c r="J1007" i="39"/>
  <c r="G1007" i="39"/>
  <c r="J1006" i="39"/>
  <c r="G1006" i="39"/>
  <c r="J1005" i="39"/>
  <c r="G1005" i="39"/>
  <c r="J1004" i="39"/>
  <c r="G1004" i="39"/>
  <c r="J1003" i="39"/>
  <c r="G1003" i="39"/>
  <c r="J1002" i="39"/>
  <c r="G1002" i="39"/>
  <c r="J1001" i="39"/>
  <c r="J1000" i="39"/>
  <c r="J999" i="39"/>
  <c r="J998" i="39"/>
  <c r="J997" i="39"/>
  <c r="J996" i="39"/>
  <c r="J995" i="39"/>
  <c r="J994" i="39"/>
  <c r="J993" i="39"/>
  <c r="J992" i="39"/>
  <c r="J991" i="39"/>
  <c r="J990" i="39"/>
  <c r="J989" i="39"/>
  <c r="J988" i="39"/>
  <c r="J987" i="39"/>
  <c r="J986" i="39"/>
  <c r="J985" i="39"/>
  <c r="J984" i="39"/>
  <c r="J983" i="39"/>
  <c r="J982" i="39"/>
  <c r="J981" i="39"/>
  <c r="J980" i="39"/>
  <c r="J979" i="39"/>
  <c r="J978" i="39"/>
  <c r="J977" i="39"/>
  <c r="J976" i="39"/>
  <c r="J975" i="39"/>
  <c r="J974" i="39"/>
  <c r="J973" i="39"/>
  <c r="J972" i="39"/>
  <c r="J971" i="39"/>
  <c r="J970" i="39"/>
  <c r="J969" i="39"/>
  <c r="J968" i="39"/>
  <c r="J967" i="39"/>
  <c r="J966" i="39"/>
  <c r="J965" i="39"/>
  <c r="J964" i="39"/>
  <c r="J963" i="39"/>
  <c r="J962" i="39"/>
  <c r="J961" i="39"/>
  <c r="J960" i="39"/>
  <c r="J959" i="39"/>
  <c r="J958" i="39"/>
  <c r="J957" i="39"/>
  <c r="J956" i="39"/>
  <c r="J955" i="39"/>
  <c r="J954" i="39"/>
  <c r="J953" i="39"/>
  <c r="J952" i="39"/>
  <c r="J951" i="39"/>
  <c r="J950" i="39"/>
  <c r="J949" i="39"/>
  <c r="J948" i="39"/>
  <c r="J947" i="39"/>
  <c r="J946" i="39"/>
  <c r="J945" i="39"/>
  <c r="J944" i="39"/>
  <c r="J943" i="39"/>
  <c r="J942" i="39"/>
  <c r="J941" i="39"/>
  <c r="J940" i="39"/>
  <c r="J939" i="39"/>
  <c r="J938" i="39"/>
  <c r="J937" i="39"/>
  <c r="J936" i="39"/>
  <c r="J935" i="39"/>
  <c r="J934" i="39"/>
  <c r="J933" i="39"/>
  <c r="J932" i="39"/>
  <c r="J931" i="39"/>
  <c r="J930" i="39"/>
  <c r="J929" i="39"/>
  <c r="J928" i="39"/>
  <c r="J927" i="39"/>
  <c r="J926" i="39"/>
  <c r="J925" i="39"/>
  <c r="J924" i="39"/>
  <c r="J923" i="39"/>
  <c r="J922" i="39"/>
  <c r="J921" i="39"/>
  <c r="J920" i="39"/>
  <c r="G920" i="39"/>
  <c r="J919" i="39"/>
  <c r="G919" i="39"/>
  <c r="J918" i="39"/>
  <c r="G918" i="39"/>
  <c r="J917" i="39"/>
  <c r="G917" i="39"/>
  <c r="J916" i="39"/>
  <c r="J915" i="39"/>
  <c r="G915" i="39"/>
  <c r="J914" i="39"/>
  <c r="G914" i="39"/>
  <c r="J913" i="39"/>
  <c r="G913" i="39"/>
  <c r="J912" i="39"/>
  <c r="J911" i="39"/>
  <c r="G911" i="39"/>
  <c r="J910" i="39"/>
  <c r="J909" i="39"/>
  <c r="G909" i="39"/>
  <c r="J908" i="39"/>
  <c r="J907" i="39"/>
  <c r="J906" i="39"/>
  <c r="J905" i="39"/>
  <c r="J904" i="39"/>
  <c r="J903" i="39"/>
  <c r="J902" i="39"/>
  <c r="J901" i="39"/>
  <c r="J900" i="39"/>
  <c r="J899" i="39"/>
  <c r="J898" i="39"/>
  <c r="J897" i="39"/>
  <c r="J896" i="39"/>
  <c r="J895" i="39"/>
  <c r="J894" i="39"/>
  <c r="J893" i="39"/>
  <c r="J892" i="39"/>
  <c r="J891" i="39"/>
  <c r="J890" i="39"/>
  <c r="J889" i="39"/>
  <c r="J888" i="39"/>
  <c r="J887" i="39"/>
  <c r="J886" i="39"/>
  <c r="J885" i="39"/>
  <c r="G885" i="39"/>
  <c r="J884" i="39"/>
  <c r="G884" i="39"/>
  <c r="J883" i="39"/>
  <c r="G883" i="39"/>
  <c r="J882" i="39"/>
  <c r="G882" i="39"/>
  <c r="J881" i="39"/>
  <c r="G881" i="39"/>
  <c r="J880" i="39"/>
  <c r="G880" i="39"/>
  <c r="J879" i="39"/>
  <c r="G879" i="39"/>
  <c r="J878" i="39"/>
  <c r="J877" i="39"/>
  <c r="J876" i="39"/>
  <c r="J875" i="39"/>
  <c r="J874" i="39"/>
  <c r="J873" i="39"/>
  <c r="J872" i="39"/>
  <c r="J871" i="39"/>
  <c r="J870" i="39"/>
  <c r="J869" i="39"/>
  <c r="J868" i="39"/>
  <c r="J867" i="39"/>
  <c r="J866" i="39"/>
  <c r="J865" i="39"/>
  <c r="J864" i="39"/>
  <c r="J863" i="39"/>
  <c r="J862" i="39"/>
  <c r="J861" i="39"/>
  <c r="J860" i="39"/>
  <c r="J859" i="39"/>
  <c r="J858" i="39"/>
  <c r="J857" i="39"/>
  <c r="J856" i="39"/>
  <c r="J855" i="39"/>
  <c r="J854" i="39"/>
  <c r="J853" i="39"/>
  <c r="J852" i="39"/>
  <c r="J851" i="39"/>
  <c r="J850" i="39"/>
  <c r="J849" i="39"/>
  <c r="J848" i="39"/>
  <c r="J847" i="39"/>
  <c r="J846" i="39"/>
  <c r="J845" i="39"/>
  <c r="J844" i="39"/>
  <c r="J843" i="39"/>
  <c r="J842" i="39"/>
  <c r="J841" i="39"/>
  <c r="J840" i="39"/>
  <c r="J839" i="39"/>
  <c r="J838" i="39"/>
  <c r="J837" i="39"/>
  <c r="J836" i="39"/>
  <c r="J835" i="39"/>
  <c r="J834" i="39"/>
  <c r="J833" i="39"/>
  <c r="J832" i="39"/>
  <c r="J831" i="39"/>
  <c r="J830" i="39"/>
  <c r="J829" i="39"/>
  <c r="J828" i="39"/>
  <c r="J827" i="39"/>
  <c r="J826" i="39"/>
  <c r="J825" i="39"/>
  <c r="J824" i="39"/>
  <c r="J823" i="39"/>
  <c r="J822" i="39"/>
  <c r="J821" i="39"/>
  <c r="J820" i="39"/>
  <c r="J819" i="39"/>
  <c r="J818" i="39"/>
  <c r="J817" i="39"/>
  <c r="J816" i="39"/>
  <c r="J815" i="39"/>
  <c r="J814" i="39"/>
  <c r="J813" i="39"/>
  <c r="J812" i="39"/>
  <c r="J811" i="39"/>
  <c r="J810" i="39"/>
  <c r="J809" i="39"/>
  <c r="J808" i="39"/>
  <c r="J807" i="39"/>
  <c r="J806" i="39"/>
  <c r="J805" i="39"/>
  <c r="J804" i="39"/>
  <c r="J803" i="39"/>
  <c r="J802" i="39"/>
  <c r="J801" i="39"/>
  <c r="J800" i="39"/>
  <c r="J799" i="39"/>
  <c r="J798" i="39"/>
  <c r="J797" i="39"/>
  <c r="J796" i="39"/>
  <c r="J795" i="39"/>
  <c r="J794" i="39"/>
  <c r="J793" i="39"/>
  <c r="J792" i="39"/>
  <c r="J791" i="39"/>
  <c r="J790" i="39"/>
  <c r="J789" i="39"/>
  <c r="J788" i="39"/>
  <c r="J787" i="39"/>
  <c r="J786" i="39"/>
  <c r="J785" i="39"/>
  <c r="J784" i="39"/>
  <c r="J783" i="39"/>
  <c r="J782" i="39"/>
  <c r="J781" i="39"/>
  <c r="J780" i="39"/>
  <c r="J779" i="39"/>
  <c r="J778" i="39"/>
  <c r="J777" i="39"/>
  <c r="J776" i="39"/>
  <c r="J775" i="39"/>
  <c r="J774" i="39"/>
  <c r="J773" i="39"/>
  <c r="J772" i="39"/>
  <c r="J771" i="39"/>
  <c r="J770" i="39"/>
  <c r="J769" i="39"/>
  <c r="J768" i="39"/>
  <c r="J767" i="39"/>
  <c r="J766" i="39"/>
  <c r="J765" i="39"/>
  <c r="J764" i="39"/>
  <c r="J763" i="39"/>
  <c r="J762" i="39"/>
  <c r="J761" i="39"/>
  <c r="J760" i="39"/>
  <c r="J759" i="39"/>
  <c r="J758" i="39"/>
  <c r="J757" i="39"/>
  <c r="J756" i="39"/>
  <c r="J755" i="39"/>
  <c r="J754" i="39"/>
  <c r="J753" i="39"/>
  <c r="J752" i="39"/>
  <c r="J751" i="39"/>
  <c r="J750" i="39"/>
  <c r="J749" i="39"/>
  <c r="J748" i="39"/>
  <c r="J747" i="39"/>
  <c r="J746" i="39"/>
  <c r="J745" i="39"/>
  <c r="J744" i="39"/>
  <c r="J743" i="39"/>
  <c r="J742" i="39"/>
  <c r="J741" i="39"/>
  <c r="J740" i="39"/>
  <c r="J739" i="39"/>
  <c r="J738" i="39"/>
  <c r="J737" i="39"/>
  <c r="J736" i="39"/>
  <c r="J735" i="39"/>
  <c r="J734" i="39"/>
  <c r="J733" i="39"/>
  <c r="J732" i="39"/>
  <c r="J731" i="39"/>
  <c r="J730" i="39"/>
  <c r="J729" i="39"/>
  <c r="J728" i="39"/>
  <c r="J727" i="39"/>
  <c r="J726" i="39"/>
  <c r="J725" i="39"/>
  <c r="J724" i="39"/>
  <c r="J723" i="39"/>
  <c r="J722" i="39"/>
  <c r="J721" i="39"/>
  <c r="J720" i="39"/>
  <c r="J719" i="39"/>
  <c r="J718" i="39"/>
  <c r="J717" i="39"/>
  <c r="J716" i="39"/>
  <c r="J715" i="39"/>
  <c r="J714" i="39"/>
  <c r="J713" i="39"/>
  <c r="J712" i="39"/>
  <c r="J711" i="39"/>
  <c r="J710" i="39"/>
  <c r="J709" i="39"/>
  <c r="J708" i="39"/>
  <c r="J707" i="39"/>
  <c r="J706" i="39"/>
  <c r="J705" i="39"/>
  <c r="J704" i="39"/>
  <c r="J703" i="39"/>
  <c r="J702" i="39"/>
  <c r="J701" i="39"/>
  <c r="J700" i="39"/>
  <c r="J699" i="39"/>
  <c r="J698" i="39"/>
  <c r="J697" i="39"/>
  <c r="J696" i="39"/>
  <c r="J695" i="39"/>
  <c r="J694" i="39"/>
  <c r="J693" i="39"/>
  <c r="J692" i="39"/>
  <c r="J691" i="39"/>
  <c r="J690" i="39"/>
  <c r="J689" i="39"/>
  <c r="J688" i="39"/>
  <c r="J687" i="39"/>
  <c r="J686" i="39"/>
  <c r="J685" i="39"/>
  <c r="J684" i="39"/>
  <c r="J683" i="39"/>
  <c r="J682" i="39"/>
  <c r="J681" i="39"/>
  <c r="J680" i="39"/>
  <c r="J679" i="39"/>
  <c r="J678" i="39"/>
  <c r="J677" i="39"/>
  <c r="J676" i="39"/>
  <c r="J675" i="39"/>
  <c r="J674" i="39"/>
  <c r="J673" i="39"/>
  <c r="J672" i="39"/>
  <c r="J671" i="39"/>
  <c r="J670" i="39"/>
  <c r="J669" i="39"/>
  <c r="J668" i="39"/>
  <c r="J667" i="39"/>
  <c r="J666" i="39"/>
  <c r="J665" i="39"/>
  <c r="J664" i="39"/>
  <c r="J663" i="39"/>
  <c r="J662" i="39"/>
  <c r="J661" i="39"/>
  <c r="J660" i="39"/>
  <c r="J659" i="39"/>
  <c r="J658" i="39"/>
  <c r="J657" i="39"/>
  <c r="J656" i="39"/>
  <c r="J655" i="39"/>
  <c r="J654" i="39"/>
  <c r="J653" i="39"/>
  <c r="J652" i="39"/>
  <c r="J651" i="39"/>
  <c r="J650" i="39"/>
  <c r="J649" i="39"/>
  <c r="J648" i="39"/>
  <c r="J647" i="39"/>
  <c r="J646" i="39"/>
  <c r="J645" i="39"/>
  <c r="J644" i="39"/>
  <c r="J643" i="39"/>
  <c r="J642" i="39"/>
  <c r="J641" i="39"/>
  <c r="J640" i="39"/>
  <c r="J639" i="39"/>
  <c r="J638" i="39"/>
  <c r="J637" i="39"/>
  <c r="J636" i="39"/>
  <c r="J635" i="39"/>
  <c r="J634" i="39"/>
  <c r="J633" i="39"/>
  <c r="J632" i="39"/>
  <c r="J631" i="39"/>
  <c r="J630" i="39"/>
  <c r="J629" i="39"/>
  <c r="J628" i="39"/>
  <c r="J627" i="39"/>
  <c r="J626" i="39"/>
  <c r="J625" i="39"/>
  <c r="J624" i="39"/>
  <c r="J623" i="39"/>
  <c r="J622" i="39"/>
  <c r="J621" i="39"/>
  <c r="J620" i="39"/>
  <c r="J619" i="39"/>
  <c r="J618" i="39"/>
  <c r="J617" i="39"/>
  <c r="J616" i="39"/>
  <c r="J615" i="39"/>
  <c r="J614" i="39"/>
  <c r="J613" i="39"/>
  <c r="J612" i="39"/>
  <c r="J611" i="39"/>
  <c r="J610" i="39"/>
  <c r="J609" i="39"/>
  <c r="J608" i="39"/>
  <c r="J607" i="39"/>
  <c r="J606" i="39"/>
  <c r="J605" i="39"/>
  <c r="J604" i="39"/>
  <c r="J603" i="39"/>
  <c r="J602" i="39"/>
  <c r="J601" i="39"/>
  <c r="J600" i="39"/>
  <c r="J599" i="39"/>
  <c r="J598" i="39"/>
  <c r="J597" i="39"/>
  <c r="J596" i="39"/>
  <c r="J595" i="39"/>
  <c r="J594" i="39"/>
  <c r="J593" i="39"/>
  <c r="J592" i="39"/>
  <c r="J591" i="39"/>
  <c r="J590" i="39"/>
  <c r="J589" i="39"/>
  <c r="J588" i="39"/>
  <c r="J587" i="39"/>
  <c r="J586" i="39"/>
  <c r="J585" i="39"/>
  <c r="J584" i="39"/>
  <c r="J583" i="39"/>
  <c r="J582" i="39"/>
  <c r="J581" i="39"/>
  <c r="J580" i="39"/>
  <c r="J579" i="39"/>
  <c r="J578" i="39"/>
  <c r="J577" i="39"/>
  <c r="J576" i="39"/>
  <c r="J575" i="39"/>
  <c r="J574" i="39"/>
  <c r="J573" i="39"/>
  <c r="J572" i="39"/>
  <c r="J571" i="39"/>
  <c r="J570" i="39"/>
  <c r="J569" i="39"/>
  <c r="J568" i="39"/>
  <c r="J567" i="39"/>
  <c r="J566" i="39"/>
  <c r="J565" i="39"/>
  <c r="J564" i="39"/>
  <c r="J563" i="39"/>
  <c r="J562" i="39"/>
  <c r="J561" i="39"/>
  <c r="J560" i="39"/>
  <c r="J559" i="39"/>
  <c r="J558" i="39"/>
  <c r="J557" i="39"/>
  <c r="J556" i="39"/>
  <c r="J555" i="39"/>
  <c r="J554" i="39"/>
  <c r="J553" i="39"/>
  <c r="J552" i="39"/>
  <c r="J551" i="39"/>
  <c r="J550" i="39"/>
  <c r="J549" i="39"/>
  <c r="J548" i="39"/>
  <c r="J547" i="39"/>
  <c r="G547" i="39"/>
  <c r="J546" i="39"/>
  <c r="G546" i="39"/>
  <c r="J545" i="39"/>
  <c r="G545" i="39"/>
  <c r="J544" i="39"/>
  <c r="G544" i="39"/>
  <c r="J543" i="39"/>
  <c r="G543" i="39"/>
  <c r="J542" i="39"/>
  <c r="G542" i="39"/>
  <c r="J541" i="39"/>
  <c r="G541" i="39"/>
  <c r="J540" i="39"/>
  <c r="G540" i="39"/>
  <c r="J539" i="39"/>
  <c r="G539" i="39"/>
  <c r="J538" i="39"/>
  <c r="G538" i="39"/>
  <c r="J537" i="39"/>
  <c r="G537" i="39"/>
  <c r="J536" i="39"/>
  <c r="G536" i="39"/>
  <c r="J535" i="39"/>
  <c r="G535" i="39"/>
  <c r="J534" i="39"/>
  <c r="G534" i="39"/>
  <c r="J533" i="39"/>
  <c r="G533" i="39"/>
  <c r="J532" i="39"/>
  <c r="J531" i="39"/>
  <c r="J530" i="39"/>
  <c r="J529" i="39"/>
  <c r="J528" i="39"/>
  <c r="J527" i="39"/>
  <c r="J526" i="39"/>
  <c r="J525" i="39"/>
  <c r="J524" i="39"/>
  <c r="J523" i="39"/>
  <c r="J522" i="39"/>
  <c r="J521" i="39"/>
  <c r="J520" i="39"/>
  <c r="J519" i="39"/>
  <c r="J518" i="39"/>
  <c r="J517" i="39"/>
  <c r="J516" i="39"/>
  <c r="J515" i="39"/>
  <c r="J514" i="39"/>
  <c r="J513" i="39"/>
  <c r="J512" i="39"/>
  <c r="J511" i="39"/>
  <c r="J510" i="39"/>
  <c r="J509" i="39"/>
  <c r="J508" i="39"/>
  <c r="J507" i="39"/>
  <c r="J506" i="39"/>
  <c r="J505" i="39"/>
  <c r="J504" i="39"/>
  <c r="J503" i="39"/>
  <c r="J502" i="39"/>
  <c r="J501" i="39"/>
  <c r="J500" i="39"/>
  <c r="J499" i="39"/>
  <c r="J498" i="39"/>
  <c r="J497" i="39"/>
  <c r="J496" i="39"/>
  <c r="J495" i="39"/>
  <c r="J494" i="39"/>
  <c r="J493" i="39"/>
  <c r="J492" i="39"/>
  <c r="J491" i="39"/>
  <c r="J490" i="39"/>
  <c r="J489" i="39"/>
  <c r="J488" i="39"/>
  <c r="J487" i="39"/>
  <c r="J486" i="39"/>
  <c r="J485" i="39"/>
  <c r="J484" i="39"/>
  <c r="J483" i="39"/>
  <c r="J482" i="39"/>
  <c r="J481" i="39"/>
  <c r="J480" i="39"/>
  <c r="J479" i="39"/>
  <c r="J478" i="39"/>
  <c r="J477" i="39"/>
  <c r="J476" i="39"/>
  <c r="J475" i="39"/>
  <c r="J474" i="39"/>
  <c r="J473" i="39"/>
  <c r="J472" i="39"/>
  <c r="J471" i="39"/>
  <c r="J470" i="39"/>
  <c r="J469" i="39"/>
  <c r="J468" i="39"/>
  <c r="J467" i="39"/>
  <c r="J466" i="39"/>
  <c r="J465" i="39"/>
  <c r="J464" i="39"/>
  <c r="J463" i="39"/>
  <c r="J462" i="39"/>
  <c r="J461" i="39"/>
  <c r="J460" i="39"/>
  <c r="J459" i="39"/>
  <c r="J458" i="39"/>
  <c r="J457" i="39"/>
  <c r="J456" i="39"/>
  <c r="J455" i="39"/>
  <c r="J454" i="39"/>
  <c r="J453" i="39"/>
  <c r="J452" i="39"/>
  <c r="J451" i="39"/>
  <c r="J450" i="39"/>
  <c r="J449" i="39"/>
  <c r="J448" i="39"/>
  <c r="J447" i="39"/>
  <c r="J446" i="39"/>
  <c r="J445" i="39"/>
  <c r="J444" i="39"/>
  <c r="J443" i="39"/>
  <c r="J442" i="39"/>
  <c r="J441" i="39"/>
  <c r="J440" i="39"/>
  <c r="J439" i="39"/>
  <c r="J438" i="39"/>
  <c r="J437" i="39"/>
  <c r="J436" i="39"/>
  <c r="J435" i="39"/>
  <c r="J434" i="39"/>
  <c r="J433" i="39"/>
  <c r="J432" i="39"/>
  <c r="J431" i="39"/>
  <c r="J430" i="39"/>
  <c r="J429" i="39"/>
  <c r="J428" i="39"/>
  <c r="J427" i="39"/>
  <c r="J426" i="39"/>
  <c r="J425" i="39"/>
  <c r="J424" i="39"/>
  <c r="J423" i="39"/>
  <c r="J422" i="39"/>
  <c r="J421" i="39"/>
  <c r="J420" i="39"/>
  <c r="J419" i="39"/>
  <c r="J418" i="39"/>
  <c r="J417" i="39"/>
  <c r="J416" i="39"/>
  <c r="J415" i="39"/>
  <c r="J414" i="39"/>
  <c r="J413" i="39"/>
  <c r="J412" i="39"/>
  <c r="J411" i="39"/>
  <c r="J410" i="39"/>
  <c r="J409" i="39"/>
  <c r="J408" i="39"/>
  <c r="J407" i="39"/>
  <c r="G407" i="39"/>
  <c r="J406" i="39"/>
  <c r="J405" i="39"/>
  <c r="J404" i="39"/>
  <c r="J403" i="39"/>
  <c r="G403" i="39"/>
  <c r="J402" i="39"/>
  <c r="J401" i="39"/>
  <c r="J400" i="39"/>
  <c r="J399" i="39"/>
  <c r="J398" i="39"/>
  <c r="J397" i="39"/>
  <c r="G397" i="39"/>
  <c r="J396" i="39"/>
  <c r="J395" i="39"/>
  <c r="J394" i="39"/>
  <c r="J393" i="39"/>
  <c r="J392" i="39"/>
  <c r="J391" i="39"/>
  <c r="J390" i="39"/>
  <c r="G390" i="39"/>
  <c r="J389" i="39"/>
  <c r="G389" i="39"/>
  <c r="J388" i="39"/>
  <c r="G388" i="39"/>
  <c r="J387" i="39"/>
  <c r="G387" i="39"/>
  <c r="J386" i="39"/>
  <c r="G386" i="39"/>
  <c r="J385" i="39"/>
  <c r="G385" i="39"/>
  <c r="J384" i="39"/>
  <c r="G384" i="39"/>
  <c r="J383" i="39"/>
  <c r="G383" i="39"/>
  <c r="J382" i="39"/>
  <c r="G382" i="39"/>
  <c r="J381" i="39"/>
  <c r="G381" i="39"/>
  <c r="J380" i="39"/>
  <c r="G380" i="39"/>
  <c r="J379" i="39"/>
  <c r="G379" i="39"/>
  <c r="J378" i="39"/>
  <c r="G378" i="39"/>
  <c r="J377" i="39"/>
  <c r="G377" i="39"/>
  <c r="J376" i="39"/>
  <c r="G376" i="39"/>
  <c r="J375" i="39"/>
  <c r="G375" i="39"/>
  <c r="J374" i="39"/>
  <c r="G374" i="39"/>
  <c r="J373" i="39"/>
  <c r="G373" i="39"/>
  <c r="J372" i="39"/>
  <c r="G372" i="39"/>
  <c r="J371" i="39"/>
  <c r="G371" i="39"/>
  <c r="J370" i="39"/>
  <c r="G370" i="39"/>
  <c r="J369" i="39"/>
  <c r="G369" i="39"/>
  <c r="J368" i="39"/>
  <c r="G368" i="39"/>
  <c r="J367" i="39"/>
  <c r="G367" i="39"/>
  <c r="J366" i="39"/>
  <c r="G366" i="39"/>
  <c r="J365" i="39"/>
  <c r="G365" i="39"/>
  <c r="J364" i="39"/>
  <c r="G364" i="39"/>
  <c r="J363" i="39"/>
  <c r="G363" i="39"/>
  <c r="J362" i="39"/>
  <c r="G362" i="39"/>
  <c r="J361" i="39"/>
  <c r="G361" i="39"/>
  <c r="J360" i="39"/>
  <c r="G360" i="39"/>
  <c r="J359" i="39"/>
  <c r="G359" i="39"/>
  <c r="J358" i="39"/>
  <c r="G358" i="39"/>
  <c r="J357" i="39"/>
  <c r="G357" i="39"/>
  <c r="J356" i="39"/>
  <c r="G356" i="39"/>
  <c r="J355" i="39"/>
  <c r="G355" i="39"/>
  <c r="J354" i="39"/>
  <c r="G354" i="39"/>
  <c r="J353" i="39"/>
  <c r="G353" i="39"/>
  <c r="J352" i="39"/>
  <c r="G352" i="39"/>
  <c r="J351" i="39"/>
  <c r="G351" i="39"/>
  <c r="J350" i="39"/>
  <c r="G350" i="39"/>
  <c r="J349" i="39"/>
  <c r="G349" i="39"/>
  <c r="J348" i="39"/>
  <c r="G348" i="39"/>
  <c r="J347" i="39"/>
  <c r="G347" i="39"/>
  <c r="J346" i="39"/>
  <c r="G346" i="39"/>
  <c r="J345" i="39"/>
  <c r="G345" i="39"/>
  <c r="J344" i="39"/>
  <c r="G344" i="39"/>
  <c r="J343" i="39"/>
  <c r="G343" i="39"/>
  <c r="J342" i="39"/>
  <c r="G342" i="39"/>
  <c r="J341" i="39"/>
  <c r="G341" i="39"/>
  <c r="J340" i="39"/>
  <c r="G340" i="39"/>
  <c r="J339" i="39"/>
  <c r="G339" i="39"/>
  <c r="J338" i="39"/>
  <c r="G338" i="39"/>
  <c r="J337" i="39"/>
  <c r="G337" i="39"/>
  <c r="J336" i="39"/>
  <c r="G336" i="39"/>
  <c r="J335" i="39"/>
  <c r="G335" i="39"/>
  <c r="J334" i="39"/>
  <c r="G334" i="39"/>
  <c r="J333" i="39"/>
  <c r="G333" i="39"/>
  <c r="J332" i="39"/>
  <c r="G332" i="39"/>
  <c r="J331" i="39"/>
  <c r="G331" i="39"/>
  <c r="J330" i="39"/>
  <c r="G330" i="39"/>
  <c r="J329" i="39"/>
  <c r="G329" i="39"/>
  <c r="J328" i="39"/>
  <c r="J327" i="39"/>
  <c r="J326" i="39"/>
  <c r="J325" i="39"/>
  <c r="J324" i="39"/>
  <c r="J323" i="39"/>
  <c r="J322" i="39"/>
  <c r="J321" i="39"/>
  <c r="J320" i="39"/>
  <c r="J319" i="39"/>
  <c r="J318" i="39"/>
  <c r="J317" i="39"/>
  <c r="J316" i="39"/>
  <c r="J315" i="39"/>
  <c r="J314" i="39"/>
  <c r="J313" i="39"/>
  <c r="J312" i="39"/>
  <c r="J311" i="39"/>
  <c r="J310" i="39"/>
  <c r="J309" i="39"/>
  <c r="J308" i="39"/>
  <c r="J307" i="39"/>
  <c r="J306" i="39"/>
  <c r="J305" i="39"/>
  <c r="J304" i="39"/>
  <c r="J303" i="39"/>
  <c r="J302" i="39"/>
  <c r="J301" i="39"/>
  <c r="J300" i="39"/>
  <c r="J299" i="39"/>
  <c r="J298" i="39"/>
  <c r="J297" i="39"/>
  <c r="J296" i="39"/>
  <c r="J295" i="39"/>
  <c r="J294" i="39"/>
  <c r="J293" i="39"/>
  <c r="J292" i="39"/>
  <c r="J291" i="39"/>
  <c r="J290" i="39"/>
  <c r="J289" i="39"/>
  <c r="J288" i="39"/>
  <c r="J287" i="39"/>
  <c r="J286" i="39"/>
  <c r="J285" i="39"/>
  <c r="J284" i="39"/>
  <c r="J283" i="39"/>
  <c r="J282" i="39"/>
  <c r="J281" i="39"/>
  <c r="J280" i="39"/>
  <c r="J279" i="39"/>
  <c r="J278" i="39"/>
  <c r="J277" i="39"/>
  <c r="J276" i="39"/>
  <c r="J275" i="39"/>
  <c r="J274" i="39"/>
  <c r="J273" i="39"/>
  <c r="J272" i="39"/>
  <c r="J271" i="39"/>
  <c r="J270" i="39"/>
  <c r="J269" i="39"/>
  <c r="J268" i="39"/>
  <c r="J267" i="39"/>
  <c r="J266" i="39"/>
  <c r="J265" i="39"/>
  <c r="J264" i="39"/>
  <c r="J263" i="39"/>
  <c r="J262" i="39"/>
  <c r="J261" i="39"/>
  <c r="J260" i="39"/>
  <c r="J259" i="39"/>
  <c r="J258" i="39"/>
  <c r="J257" i="39"/>
  <c r="J256" i="39"/>
  <c r="J255" i="39"/>
  <c r="J254" i="39"/>
  <c r="J253" i="39"/>
  <c r="J252" i="39"/>
  <c r="J251" i="39"/>
  <c r="J250" i="39"/>
  <c r="J249" i="39"/>
  <c r="J248" i="39"/>
  <c r="J247" i="39"/>
  <c r="J246" i="39"/>
  <c r="J245" i="39"/>
  <c r="J244" i="39"/>
  <c r="J243" i="39"/>
  <c r="J242" i="39"/>
  <c r="J241" i="39"/>
  <c r="J240" i="39"/>
  <c r="J239" i="39"/>
  <c r="J238" i="39"/>
  <c r="J237" i="39"/>
  <c r="J236" i="39"/>
  <c r="J235" i="39"/>
  <c r="J234" i="39"/>
  <c r="J233" i="39"/>
  <c r="J232" i="39"/>
  <c r="J231" i="39"/>
  <c r="J230" i="39"/>
  <c r="J229" i="39"/>
  <c r="J228" i="39"/>
  <c r="J227" i="39"/>
  <c r="J226" i="39"/>
  <c r="J225" i="39"/>
  <c r="J224" i="39"/>
  <c r="J223" i="39"/>
  <c r="J222" i="39"/>
  <c r="J221" i="39"/>
  <c r="J220" i="39"/>
  <c r="J219" i="39"/>
  <c r="J218" i="39"/>
  <c r="J217" i="39"/>
  <c r="J216" i="39"/>
  <c r="J215" i="39"/>
  <c r="J214" i="39"/>
  <c r="J213" i="39"/>
  <c r="J212" i="39"/>
  <c r="J211" i="39"/>
  <c r="J210" i="39"/>
  <c r="J209" i="39"/>
  <c r="J208" i="39"/>
  <c r="J207" i="39"/>
  <c r="J206" i="39"/>
  <c r="J205" i="39"/>
  <c r="J204" i="39"/>
  <c r="J203" i="39"/>
  <c r="J202" i="39"/>
  <c r="J201" i="39"/>
  <c r="J200" i="39"/>
  <c r="J199" i="39"/>
  <c r="J198" i="39"/>
  <c r="J197" i="39"/>
  <c r="J196" i="39"/>
  <c r="J195" i="39"/>
  <c r="J194" i="39"/>
  <c r="J193" i="39"/>
  <c r="J192" i="39"/>
  <c r="J191" i="39"/>
  <c r="J190" i="39"/>
  <c r="J189" i="39"/>
  <c r="J188" i="39"/>
  <c r="J187" i="39"/>
  <c r="J186" i="39"/>
  <c r="J185" i="39"/>
  <c r="J184" i="39"/>
  <c r="J183" i="39"/>
  <c r="J182" i="39"/>
  <c r="J181" i="39"/>
  <c r="J180" i="39"/>
  <c r="J179" i="39"/>
  <c r="J178" i="39"/>
  <c r="J177" i="39"/>
  <c r="J176" i="39"/>
  <c r="J175" i="39"/>
  <c r="J174" i="39"/>
  <c r="J173" i="39"/>
  <c r="J172" i="39"/>
  <c r="J171" i="39"/>
  <c r="J170" i="39"/>
  <c r="J169" i="39"/>
  <c r="J168" i="39"/>
  <c r="J167" i="39"/>
  <c r="J166" i="39"/>
  <c r="J165" i="39"/>
  <c r="J164" i="39"/>
  <c r="J163" i="39"/>
  <c r="J162" i="39"/>
  <c r="J161" i="39"/>
  <c r="J160" i="39"/>
  <c r="J159" i="39"/>
  <c r="J158" i="39"/>
  <c r="J157" i="39"/>
  <c r="J156" i="39"/>
  <c r="J155" i="39"/>
  <c r="G155" i="39"/>
  <c r="J154" i="39"/>
  <c r="G154" i="39"/>
  <c r="J153" i="39"/>
  <c r="G153" i="39"/>
  <c r="J152" i="39"/>
  <c r="G152" i="39"/>
  <c r="J151" i="39"/>
  <c r="G151" i="39"/>
  <c r="J150" i="39"/>
  <c r="G150" i="39"/>
  <c r="J149" i="39"/>
  <c r="G149" i="39"/>
  <c r="J148" i="39"/>
  <c r="G148" i="39"/>
  <c r="J147" i="39"/>
  <c r="G147" i="39"/>
  <c r="J146" i="39"/>
  <c r="G146" i="39"/>
  <c r="J145" i="39"/>
  <c r="G145" i="39"/>
  <c r="J144" i="39"/>
  <c r="G144" i="39"/>
  <c r="J143" i="39"/>
  <c r="G143" i="39"/>
  <c r="J142" i="39"/>
  <c r="G142" i="39"/>
  <c r="J141" i="39"/>
  <c r="G141" i="39"/>
  <c r="J140" i="39"/>
  <c r="G140" i="39"/>
  <c r="J139" i="39"/>
  <c r="G139" i="39"/>
  <c r="J138" i="39"/>
  <c r="G138" i="39"/>
  <c r="J137" i="39"/>
  <c r="G137" i="39"/>
  <c r="J136" i="39"/>
  <c r="G136" i="39"/>
  <c r="J135" i="39"/>
  <c r="G135" i="39"/>
  <c r="J134" i="39"/>
  <c r="G134" i="39"/>
  <c r="J133" i="39"/>
  <c r="G133" i="39"/>
  <c r="J132" i="39"/>
  <c r="G132" i="39"/>
  <c r="J131" i="39"/>
  <c r="G131" i="39"/>
  <c r="J130" i="39"/>
  <c r="G130" i="39"/>
  <c r="J129" i="39"/>
  <c r="G129" i="39"/>
  <c r="J128" i="39"/>
  <c r="G128" i="39"/>
  <c r="J127" i="39"/>
  <c r="G127" i="39"/>
  <c r="J126" i="39"/>
  <c r="G126" i="39"/>
  <c r="J125" i="39"/>
  <c r="G125" i="39"/>
  <c r="J124" i="39"/>
  <c r="G124" i="39"/>
  <c r="J123" i="39"/>
  <c r="G123" i="39"/>
  <c r="J122" i="39"/>
  <c r="G122" i="39"/>
  <c r="J121" i="39"/>
  <c r="G121" i="39"/>
  <c r="J120" i="39"/>
  <c r="G120" i="39"/>
  <c r="J119" i="39"/>
  <c r="G119" i="39"/>
  <c r="J118" i="39"/>
  <c r="G118" i="39"/>
  <c r="J117" i="39"/>
  <c r="G117" i="39"/>
  <c r="J116" i="39"/>
  <c r="G116" i="39"/>
  <c r="J115" i="39"/>
  <c r="G115" i="39"/>
  <c r="J114" i="39"/>
  <c r="G114" i="39"/>
  <c r="J113" i="39"/>
  <c r="G113" i="39"/>
  <c r="J112" i="39"/>
  <c r="G112" i="39"/>
  <c r="J111" i="39"/>
  <c r="G111" i="39"/>
  <c r="J110" i="39"/>
  <c r="G110" i="39"/>
  <c r="J109" i="39"/>
  <c r="G109" i="39"/>
  <c r="J108" i="39"/>
  <c r="G108" i="39"/>
  <c r="J107" i="39"/>
  <c r="G107" i="39"/>
  <c r="J106" i="39"/>
  <c r="G106" i="39"/>
  <c r="J105" i="39"/>
  <c r="G105" i="39"/>
  <c r="J104" i="39"/>
  <c r="G104" i="39"/>
  <c r="J103" i="39"/>
  <c r="G103" i="39"/>
  <c r="J102" i="39"/>
  <c r="G102" i="39"/>
  <c r="J101" i="39"/>
  <c r="G101" i="39"/>
  <c r="J100" i="39"/>
  <c r="G100" i="39"/>
  <c r="J99" i="39"/>
  <c r="G99" i="39"/>
  <c r="J98" i="39"/>
  <c r="J97" i="39"/>
  <c r="J96" i="39"/>
  <c r="J95" i="39"/>
  <c r="J94" i="39"/>
  <c r="J93" i="39"/>
  <c r="G93" i="39"/>
  <c r="J92" i="39"/>
  <c r="G92" i="39"/>
  <c r="J91" i="39"/>
  <c r="G91" i="39"/>
  <c r="J90" i="39"/>
  <c r="G90" i="39"/>
  <c r="J89" i="39"/>
  <c r="J88" i="39"/>
  <c r="J87" i="39"/>
  <c r="J86" i="39"/>
  <c r="J85" i="39"/>
  <c r="J84" i="39"/>
  <c r="J83" i="39"/>
  <c r="J82" i="39"/>
  <c r="J81" i="39"/>
  <c r="J80" i="39"/>
  <c r="J79" i="39"/>
  <c r="J78" i="39"/>
  <c r="J77" i="39"/>
  <c r="J76" i="39"/>
  <c r="J75" i="39"/>
  <c r="J74" i="39"/>
  <c r="J73" i="39"/>
  <c r="J72" i="39"/>
  <c r="J71" i="39"/>
  <c r="J70" i="39"/>
  <c r="J69" i="39"/>
  <c r="J68" i="39"/>
  <c r="J67" i="39"/>
  <c r="J66" i="39"/>
  <c r="J65" i="39"/>
  <c r="J64" i="39"/>
  <c r="J63" i="39"/>
  <c r="J62" i="39"/>
  <c r="J61" i="39"/>
  <c r="J60" i="39"/>
  <c r="J59" i="39"/>
  <c r="J58" i="39"/>
  <c r="J57" i="39"/>
  <c r="J56" i="39"/>
  <c r="J55" i="39"/>
  <c r="J54" i="39"/>
  <c r="J53" i="39"/>
  <c r="J52" i="39"/>
  <c r="J51" i="39"/>
  <c r="J50" i="39"/>
  <c r="J49" i="39"/>
  <c r="J48" i="39"/>
  <c r="J47" i="39"/>
  <c r="J46" i="39"/>
  <c r="J45" i="39"/>
  <c r="J44" i="39"/>
  <c r="J43" i="39"/>
  <c r="J42" i="39"/>
  <c r="J41" i="39"/>
  <c r="J40" i="39"/>
  <c r="J39" i="39"/>
  <c r="J38" i="39"/>
  <c r="J37" i="39"/>
  <c r="J36" i="39"/>
  <c r="J35" i="39"/>
  <c r="J34" i="39"/>
  <c r="J33" i="39"/>
  <c r="J32" i="39"/>
  <c r="J31" i="39"/>
  <c r="J30" i="39"/>
  <c r="J29" i="39"/>
  <c r="J28" i="39"/>
  <c r="J27" i="39"/>
  <c r="J26" i="39"/>
  <c r="J25" i="39"/>
  <c r="J24" i="39"/>
  <c r="J23" i="39"/>
  <c r="J22" i="39"/>
  <c r="J21" i="39"/>
  <c r="J20" i="39"/>
  <c r="J19" i="39"/>
  <c r="J18" i="39"/>
  <c r="J17" i="39"/>
  <c r="J16" i="39"/>
  <c r="J15" i="39"/>
  <c r="J14" i="39"/>
  <c r="J13" i="39"/>
  <c r="J12" i="39"/>
  <c r="J11" i="39"/>
  <c r="J10" i="39"/>
  <c r="J9" i="39"/>
  <c r="J8" i="39"/>
  <c r="J7" i="39"/>
  <c r="J6" i="39"/>
  <c r="J5" i="39"/>
  <c r="J4" i="39"/>
  <c r="N9" i="36" l="1"/>
  <c r="K18" i="36"/>
  <c r="K16" i="36"/>
  <c r="C22" i="36"/>
  <c r="C23" i="36"/>
  <c r="C24" i="36"/>
  <c r="C25" i="36"/>
  <c r="C26" i="36"/>
  <c r="C27" i="36"/>
  <c r="C28" i="36"/>
  <c r="C29" i="36"/>
  <c r="C30" i="36"/>
  <c r="C31" i="36"/>
  <c r="C32" i="36"/>
  <c r="C33" i="36"/>
  <c r="C34" i="36"/>
  <c r="C35" i="36"/>
  <c r="C36" i="36"/>
  <c r="C37" i="36"/>
  <c r="C21" i="36"/>
  <c r="B22" i="36" l="1"/>
  <c r="B23" i="36"/>
  <c r="B24" i="36"/>
  <c r="B25" i="36"/>
  <c r="B26" i="36"/>
  <c r="B27" i="36"/>
  <c r="B28" i="36"/>
  <c r="B29" i="36"/>
  <c r="B30" i="36"/>
  <c r="B31" i="36"/>
  <c r="B32" i="36"/>
  <c r="B33" i="36"/>
  <c r="B34" i="36"/>
  <c r="B35" i="36"/>
  <c r="B36" i="36"/>
  <c r="B37" i="36"/>
  <c r="B21" i="36"/>
  <c r="A23" i="36"/>
  <c r="F23" i="36" s="1"/>
  <c r="A24" i="36"/>
  <c r="F24" i="36" s="1"/>
  <c r="A25" i="36"/>
  <c r="F25" i="36" s="1"/>
  <c r="A26" i="36"/>
  <c r="F26" i="36" s="1"/>
  <c r="A27" i="36"/>
  <c r="F27" i="36" s="1"/>
  <c r="A28" i="36"/>
  <c r="F28" i="36" s="1"/>
  <c r="A29" i="36"/>
  <c r="F29" i="36" s="1"/>
  <c r="A30" i="36"/>
  <c r="F30" i="36" s="1"/>
  <c r="A31" i="36"/>
  <c r="F31" i="36" s="1"/>
  <c r="A32" i="36"/>
  <c r="F32" i="36" s="1"/>
  <c r="A33" i="36"/>
  <c r="F33" i="36" s="1"/>
  <c r="A34" i="36"/>
  <c r="F34" i="36" s="1"/>
  <c r="A35" i="36"/>
  <c r="F35" i="36" s="1"/>
  <c r="A36" i="36"/>
  <c r="F36" i="36" s="1"/>
  <c r="A37" i="36"/>
  <c r="F37" i="36" s="1"/>
  <c r="A22" i="36"/>
  <c r="F22" i="36" s="1"/>
  <c r="A21" i="36"/>
  <c r="F21" i="36" s="1"/>
  <c r="C4" i="36"/>
  <c r="C5" i="36"/>
  <c r="D49" i="36"/>
  <c r="F49" i="36"/>
  <c r="E16" i="36"/>
  <c r="C15" i="36"/>
  <c r="C14" i="36"/>
  <c r="A15" i="36"/>
  <c r="A14" i="36"/>
  <c r="A12" i="36"/>
  <c r="A11" i="36"/>
  <c r="C12" i="36"/>
  <c r="C11" i="36"/>
  <c r="C8" i="36"/>
  <c r="C7" i="36"/>
  <c r="C6" i="36"/>
  <c r="H8" i="36" l="1"/>
  <c r="H6" i="36"/>
  <c r="G4" i="36"/>
  <c r="B3" i="36"/>
  <c r="M6" i="36" l="1"/>
  <c r="H12" i="36"/>
  <c r="H9" i="36" l="1"/>
  <c r="F11" i="36" l="1"/>
  <c r="C17" i="36" l="1"/>
  <c r="F15" i="36" l="1"/>
  <c r="F14" i="36"/>
  <c r="F12" i="36"/>
  <c r="F16" i="36" l="1"/>
  <c r="F17" i="36" s="1"/>
  <c r="H10" i="36"/>
  <c r="F18" i="36" l="1"/>
  <c r="K20" i="36" l="1"/>
  <c r="K22" i="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Carpenter, Angie</author>
  </authors>
  <commentList>
    <comment ref="N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Carpenter, Angie:</t>
        </r>
        <r>
          <rPr>
            <sz val="9"/>
            <color indexed="81"/>
            <rFont val="Tahoma"/>
            <family val="2"/>
          </rPr>
          <t xml:space="preserve">
Divide by 5280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<sst xmlns="http://schemas.openxmlformats.org/spreadsheetml/2006/main" count="4126" uniqueCount="1232">
  <si>
    <t>TOWNSHIP OF</t>
  </si>
  <si>
    <t>TYPE OF WORK:</t>
  </si>
  <si>
    <t>DATE</t>
  </si>
  <si>
    <t>TOTAL</t>
  </si>
  <si>
    <t>Estimated Time Needed to Complete Work</t>
  </si>
  <si>
    <t>Day/Days</t>
  </si>
  <si>
    <t>GRAND TOTAL</t>
  </si>
  <si>
    <t>Supervisor</t>
  </si>
  <si>
    <t>Date</t>
  </si>
  <si>
    <t>Road Commission's Board Approval</t>
  </si>
  <si>
    <t>Work Order Number</t>
  </si>
  <si>
    <t>Work Completed</t>
  </si>
  <si>
    <t xml:space="preserve"> </t>
  </si>
  <si>
    <t>Township's Board Approval</t>
  </si>
  <si>
    <t>Signature</t>
  </si>
  <si>
    <t xml:space="preserve">GENESEE COUNTY ROAD COMMISSION  </t>
  </si>
  <si>
    <t>MAINTENANCE DEPARTMENT</t>
  </si>
  <si>
    <t>211 West Oakley Street
Flint, Michigan  48503-3995</t>
  </si>
  <si>
    <t>Please sign below and return to the Maintenance Department, if your Township would like the Genesee County Road</t>
  </si>
  <si>
    <t>Chairperson</t>
  </si>
  <si>
    <t>District Supervisor</t>
  </si>
  <si>
    <t>ADDITIONAL COMMENTS</t>
  </si>
  <si>
    <t>ROAD NAME:</t>
  </si>
  <si>
    <t>LENGTH:</t>
  </si>
  <si>
    <t>Final accounting will be based on actual cost</t>
  </si>
  <si>
    <t>Township Participation</t>
  </si>
  <si>
    <t>GCRC Allocation Funds</t>
  </si>
  <si>
    <t>Participation by Others</t>
  </si>
  <si>
    <t>Engineering Dept Fund Verification</t>
  </si>
  <si>
    <t>Matching Allocation</t>
  </si>
  <si>
    <t>estimate, the Road Commission will consult with the Township prior to final billing.</t>
  </si>
  <si>
    <r>
      <t>Commission to proceed with this work.</t>
    </r>
    <r>
      <rPr>
        <b/>
        <u/>
        <sz val="10"/>
        <rFont val="Tahoma"/>
        <family val="2"/>
      </rPr>
      <t xml:space="preserve">  It is agreed that in the event the cost exceeds more than 10% of above</t>
    </r>
  </si>
  <si>
    <t>COMMENTS</t>
  </si>
  <si>
    <t>I. Labor</t>
  </si>
  <si>
    <t xml:space="preserve">LENGTH: </t>
  </si>
  <si>
    <t>LABOR - OT</t>
  </si>
  <si>
    <t>QTY</t>
  </si>
  <si>
    <t>UNIT</t>
  </si>
  <si>
    <t>UNIT COST</t>
  </si>
  <si>
    <t>Hr</t>
  </si>
  <si>
    <t>Total Labor &amp; Fringe</t>
  </si>
  <si>
    <t>II. Equipment</t>
  </si>
  <si>
    <t>Equipment Description</t>
  </si>
  <si>
    <t>III. Material</t>
  </si>
  <si>
    <t>Material Description</t>
  </si>
  <si>
    <t>Total Material</t>
  </si>
  <si>
    <t>TOTAL PROJECT COST</t>
  </si>
  <si>
    <t>Date:</t>
  </si>
  <si>
    <t>Prepared by:</t>
  </si>
  <si>
    <t>GA</t>
  </si>
  <si>
    <t>TNS</t>
  </si>
  <si>
    <t>LABOR - Regular</t>
  </si>
  <si>
    <t>Equipment Operator</t>
  </si>
  <si>
    <t>Foreman</t>
  </si>
  <si>
    <t>Sub Total Man Hours</t>
  </si>
  <si>
    <t>Fringe</t>
  </si>
  <si>
    <t>.</t>
  </si>
  <si>
    <t>Miles:</t>
  </si>
  <si>
    <t>Subtotal Days</t>
  </si>
  <si>
    <t>Total Equipment Rate Days</t>
  </si>
  <si>
    <t>Community Development Block Grant (CDBG)</t>
  </si>
  <si>
    <t>Yes</t>
  </si>
  <si>
    <t xml:space="preserve">   No</t>
  </si>
  <si>
    <t>Source: ___________________</t>
  </si>
  <si>
    <t>Balance of Available Funds</t>
  </si>
  <si>
    <t>$</t>
  </si>
  <si>
    <t>SUMMARY OF ESTIMATED COST</t>
  </si>
  <si>
    <t>*Prices good for the 2025/2026 FY*</t>
  </si>
  <si>
    <t>Name</t>
  </si>
  <si>
    <t>District</t>
  </si>
  <si>
    <t>Township</t>
  </si>
  <si>
    <t>Road Name</t>
  </si>
  <si>
    <t>Comments</t>
  </si>
  <si>
    <t>Notes</t>
  </si>
  <si>
    <t>Job Type</t>
  </si>
  <si>
    <t>Payment Method</t>
  </si>
  <si>
    <t>Road Limits</t>
  </si>
  <si>
    <t>Length (feet)</t>
  </si>
  <si>
    <t>Width (feet)</t>
  </si>
  <si>
    <t>Depth (inches)</t>
  </si>
  <si>
    <t>Number of Days worked</t>
  </si>
  <si>
    <t>Number of Operators - Regular</t>
  </si>
  <si>
    <t>Number of Foreman - Regular</t>
  </si>
  <si>
    <t>Operator Hours - Regular</t>
  </si>
  <si>
    <t>Foreman Hours - Regular</t>
  </si>
  <si>
    <t>Number of Operators - OT</t>
  </si>
  <si>
    <t>Number of Foreman - OT</t>
  </si>
  <si>
    <t>Operator Hours - OT</t>
  </si>
  <si>
    <t>Foreman Hours - OT</t>
  </si>
  <si>
    <t>Dust Control Gallons</t>
  </si>
  <si>
    <t>Deliveries</t>
  </si>
  <si>
    <t>Tractor</t>
  </si>
  <si>
    <t>Trailer</t>
  </si>
  <si>
    <t>Asphalt Paver</t>
  </si>
  <si>
    <t>Swap Loader</t>
  </si>
  <si>
    <t>Water Tank</t>
  </si>
  <si>
    <t>Asphalt Roller</t>
  </si>
  <si>
    <t>Bobcat</t>
  </si>
  <si>
    <t>Broom</t>
  </si>
  <si>
    <t>Bucket</t>
  </si>
  <si>
    <t>Sub Total Equipment Rate</t>
  </si>
  <si>
    <t>Tons of Asphalt - 4C</t>
  </si>
  <si>
    <t>Gallons of Tack</t>
  </si>
  <si>
    <t>Ace Contracted Services</t>
  </si>
  <si>
    <t>EA</t>
  </si>
  <si>
    <t>Genesee County Road Commission  (FA- Specification and Rentals)    2026</t>
  </si>
  <si>
    <t>EQUIPMENT</t>
  </si>
  <si>
    <t>2026 Hourly Rate</t>
  </si>
  <si>
    <t>2025 Comparison</t>
  </si>
  <si>
    <t>Equip Number</t>
  </si>
  <si>
    <t>Description</t>
  </si>
  <si>
    <t>Model Year</t>
  </si>
  <si>
    <t>Make</t>
  </si>
  <si>
    <t>Model / Series</t>
  </si>
  <si>
    <t>Sched C/ County/ State</t>
  </si>
  <si>
    <t>W/Radio</t>
  </si>
  <si>
    <t>Column1</t>
  </si>
  <si>
    <t>2025 Rate</t>
  </si>
  <si>
    <t>2025/26 Variance</t>
  </si>
  <si>
    <t>Drone</t>
  </si>
  <si>
    <t>Matrice</t>
  </si>
  <si>
    <t>210 V2</t>
  </si>
  <si>
    <t>Trimble S5 3" Robotic &amp; TSC5 System</t>
  </si>
  <si>
    <t>Trimble</t>
  </si>
  <si>
    <t>TCS5 System</t>
  </si>
  <si>
    <t>Envirosight Pole Camera</t>
  </si>
  <si>
    <t>Envirosight</t>
  </si>
  <si>
    <t>Hot Patcher (Lease)</t>
  </si>
  <si>
    <t>KM International</t>
  </si>
  <si>
    <t>KM800TEDD</t>
  </si>
  <si>
    <t>Liquid Spray System - Demo</t>
  </si>
  <si>
    <t>Force America</t>
  </si>
  <si>
    <t>SSC5100</t>
  </si>
  <si>
    <t>Anti-icing Unit 1250 Gal Tank - Demo</t>
  </si>
  <si>
    <t>FA-1250-3L</t>
  </si>
  <si>
    <t>Sign Truck</t>
  </si>
  <si>
    <t>International</t>
  </si>
  <si>
    <t>4900</t>
  </si>
  <si>
    <t>Post Puller</t>
  </si>
  <si>
    <t>Boom</t>
  </si>
  <si>
    <t>Versalift</t>
  </si>
  <si>
    <t>VST40001</t>
  </si>
  <si>
    <t>Global Positioning System</t>
  </si>
  <si>
    <t>Teletrac</t>
  </si>
  <si>
    <t>TM450</t>
  </si>
  <si>
    <t>Global Positioing System</t>
  </si>
  <si>
    <t>TM450J</t>
  </si>
  <si>
    <t>20" Chainsaw</t>
  </si>
  <si>
    <t>Husqvarna</t>
  </si>
  <si>
    <t>Rancher455</t>
  </si>
  <si>
    <t>24" Chainsaw</t>
  </si>
  <si>
    <t>14" Chainsaw</t>
  </si>
  <si>
    <t>Stihl</t>
  </si>
  <si>
    <t>MS193T</t>
  </si>
  <si>
    <t>700-0100 TM2</t>
  </si>
  <si>
    <t>700-0100-TM2</t>
  </si>
  <si>
    <t>Salt Calibrator</t>
  </si>
  <si>
    <t>Scale Tec</t>
  </si>
  <si>
    <t>IV-PSF</t>
  </si>
  <si>
    <t>Distance Meter</t>
  </si>
  <si>
    <t>FastMeasure</t>
  </si>
  <si>
    <t>FM-GPS</t>
  </si>
  <si>
    <t>Pole Saw</t>
  </si>
  <si>
    <t>HT102</t>
  </si>
  <si>
    <t>FM1</t>
  </si>
  <si>
    <t>OBD11</t>
  </si>
  <si>
    <t>MS261CM</t>
  </si>
  <si>
    <t>25" Chainsaw</t>
  </si>
  <si>
    <t>MS441CM</t>
  </si>
  <si>
    <t>De-Icing Liquid Tank</t>
  </si>
  <si>
    <t>Monroe</t>
  </si>
  <si>
    <t>DCDFV-11.510067</t>
  </si>
  <si>
    <t>De-Icing Pump</t>
  </si>
  <si>
    <t>Banjo</t>
  </si>
  <si>
    <t>Patching Shelf</t>
  </si>
  <si>
    <t>Own Make</t>
  </si>
  <si>
    <t>Rotary Screw Compressor</t>
  </si>
  <si>
    <t>Atlas Copco</t>
  </si>
  <si>
    <t>GA15P</t>
  </si>
  <si>
    <t>VMAC</t>
  </si>
  <si>
    <t>VR70</t>
  </si>
  <si>
    <t>Comb Catch Basin/Sewer Jet</t>
  </si>
  <si>
    <t>Vactor</t>
  </si>
  <si>
    <t>2115I824-100A</t>
  </si>
  <si>
    <t>Traffic Counter</t>
  </si>
  <si>
    <t>Delta</t>
  </si>
  <si>
    <t>NT</t>
  </si>
  <si>
    <t>Pre-Wetting System</t>
  </si>
  <si>
    <t>Flo-Torq</t>
  </si>
  <si>
    <t>2@110"=250 gal</t>
  </si>
  <si>
    <t>Cat Scale &amp; Printer</t>
  </si>
  <si>
    <t>Mi Cat</t>
  </si>
  <si>
    <t>Load Rite Scale</t>
  </si>
  <si>
    <t>Compressor</t>
  </si>
  <si>
    <t>SpeedAire</t>
  </si>
  <si>
    <t>6.5HP</t>
  </si>
  <si>
    <t>4NB84</t>
  </si>
  <si>
    <t>Arrow</t>
  </si>
  <si>
    <t>Code 3</t>
  </si>
  <si>
    <t>Narrow Stick</t>
  </si>
  <si>
    <t>14" Cut Off Saw</t>
  </si>
  <si>
    <t>K770</t>
  </si>
  <si>
    <t>HT131</t>
  </si>
  <si>
    <t>Load Rite Scale &amp; Printer</t>
  </si>
  <si>
    <t>John Deere</t>
  </si>
  <si>
    <t>Caterpillar</t>
  </si>
  <si>
    <t>Automatic Slope Control System</t>
  </si>
  <si>
    <t>Brine Maker</t>
  </si>
  <si>
    <t>Cargill</t>
  </si>
  <si>
    <t>Accubrine NXT</t>
  </si>
  <si>
    <t>SUV - All Wheel Drive</t>
  </si>
  <si>
    <t>GMC</t>
  </si>
  <si>
    <t>Terrain AWD</t>
  </si>
  <si>
    <t>Car</t>
  </si>
  <si>
    <t>Chevrolet</t>
  </si>
  <si>
    <t>Impala</t>
  </si>
  <si>
    <t>Terrain</t>
  </si>
  <si>
    <t>Road Widener</t>
  </si>
  <si>
    <t>WT-SSL</t>
  </si>
  <si>
    <t>SPF-8</t>
  </si>
  <si>
    <t>Autocrane</t>
  </si>
  <si>
    <t>Crane</t>
  </si>
  <si>
    <t>3203 PRX</t>
  </si>
  <si>
    <t>00016220-B</t>
  </si>
  <si>
    <t>SS</t>
  </si>
  <si>
    <t>Pick up Truck</t>
  </si>
  <si>
    <t>2500HD</t>
  </si>
  <si>
    <t>1/2 Ton Pick-up Truck</t>
  </si>
  <si>
    <t>Sierra 1500</t>
  </si>
  <si>
    <t>1/2 Ton Pick up Truck</t>
  </si>
  <si>
    <t>Sierra</t>
  </si>
  <si>
    <t>Pickup Truck</t>
  </si>
  <si>
    <t>Sierra 2500 HD</t>
  </si>
  <si>
    <t>Pick Up - 4 Wheel Drive</t>
  </si>
  <si>
    <t>Pick Up Truck</t>
  </si>
  <si>
    <t>Sierra 2500</t>
  </si>
  <si>
    <t>Pick Up - 4x2 Reg Cab</t>
  </si>
  <si>
    <t>Ford</t>
  </si>
  <si>
    <t>F250</t>
  </si>
  <si>
    <t>Pick up - 4WD Double Cab</t>
  </si>
  <si>
    <t>Double Cab 2WD 2500</t>
  </si>
  <si>
    <t>2500 2WD Double Cab</t>
  </si>
  <si>
    <t>Silverado 2500</t>
  </si>
  <si>
    <t>Road Watch</t>
  </si>
  <si>
    <t>Road Watch Temperature Sensor</t>
  </si>
  <si>
    <t>Roadwatch</t>
  </si>
  <si>
    <t>Roadwatch Temperature Sensor</t>
  </si>
  <si>
    <t>Rear Observation Camera</t>
  </si>
  <si>
    <t>Voyager</t>
  </si>
  <si>
    <t>VCMS155B</t>
  </si>
  <si>
    <t>Rear Camera</t>
  </si>
  <si>
    <t>Light Bar</t>
  </si>
  <si>
    <t>ENSTCDXS51208</t>
  </si>
  <si>
    <t>Air Compressor</t>
  </si>
  <si>
    <t>V-Mac</t>
  </si>
  <si>
    <t>SoundOff</t>
  </si>
  <si>
    <t>Nforce</t>
  </si>
  <si>
    <t>ETSWDAS01</t>
  </si>
  <si>
    <t>Rosco</t>
  </si>
  <si>
    <t>Orlaco</t>
  </si>
  <si>
    <t>Rear Camera Device</t>
  </si>
  <si>
    <t>Asphalt Distributor</t>
  </si>
  <si>
    <t>Etnyre</t>
  </si>
  <si>
    <t>Centennial</t>
  </si>
  <si>
    <t>Express Van</t>
  </si>
  <si>
    <t>Express</t>
  </si>
  <si>
    <t>Step Van</t>
  </si>
  <si>
    <t>Fh16570</t>
  </si>
  <si>
    <t>B&amp;G 4 x 4 Truck</t>
  </si>
  <si>
    <t>F350</t>
  </si>
  <si>
    <t>Aerial Bucket Truck</t>
  </si>
  <si>
    <t>Single Axle Dump Truck</t>
  </si>
  <si>
    <t>F550</t>
  </si>
  <si>
    <t>Crew Cab Service Truck</t>
  </si>
  <si>
    <t>1140EQ</t>
  </si>
  <si>
    <t>Aerial Tower Truck</t>
  </si>
  <si>
    <t>4300</t>
  </si>
  <si>
    <t>Electrical Truck</t>
  </si>
  <si>
    <t>TerraStar SFA</t>
  </si>
  <si>
    <t>Hooklift Truck</t>
  </si>
  <si>
    <t>TerraStarSFA4x4</t>
  </si>
  <si>
    <t>Mechanic Service Truck</t>
  </si>
  <si>
    <t>F-550</t>
  </si>
  <si>
    <t>Tire Truck</t>
  </si>
  <si>
    <t>4X2LP</t>
  </si>
  <si>
    <t>1230EQ</t>
  </si>
  <si>
    <t>Stake Rack Truck</t>
  </si>
  <si>
    <t>Sa47540</t>
  </si>
  <si>
    <t>Tandam-Axle Asphalt Distb</t>
  </si>
  <si>
    <t>Western Star</t>
  </si>
  <si>
    <t>Truck-hi lift Dump</t>
  </si>
  <si>
    <t>Stake</t>
  </si>
  <si>
    <t>Tandam-Axle Asphalt Distributor</t>
  </si>
  <si>
    <t>7400 SBA 6X4</t>
  </si>
  <si>
    <t>Aerial Tower - Signal Truck</t>
  </si>
  <si>
    <t>Freightliner</t>
  </si>
  <si>
    <t>M2-106</t>
  </si>
  <si>
    <t>108SD</t>
  </si>
  <si>
    <t>Mechanical Street Sweeper</t>
  </si>
  <si>
    <t>Elgin</t>
  </si>
  <si>
    <t>Eagle</t>
  </si>
  <si>
    <t>1300EQ</t>
  </si>
  <si>
    <t>Swap Loader Cab &amp; Chassis</t>
  </si>
  <si>
    <t>1301EQ</t>
  </si>
  <si>
    <t>Western Star Chassis</t>
  </si>
  <si>
    <t>4900 SB</t>
  </si>
  <si>
    <t>Western Star Chassis Tandem Swap</t>
  </si>
  <si>
    <t>Western Star Chassis Tandem Dump</t>
  </si>
  <si>
    <t>4900SB</t>
  </si>
  <si>
    <t>Western Star Chassis Tanden Dump</t>
  </si>
  <si>
    <t>Dump Body</t>
  </si>
  <si>
    <t>SwapLoader</t>
  </si>
  <si>
    <t>SL-412</t>
  </si>
  <si>
    <t>Demolition Body</t>
  </si>
  <si>
    <t>Crysteep</t>
  </si>
  <si>
    <t>Vac-all</t>
  </si>
  <si>
    <t>114 SD</t>
  </si>
  <si>
    <t>14' 201 SS Dump Body</t>
  </si>
  <si>
    <t>SLCT1400</t>
  </si>
  <si>
    <t>1410EQ</t>
  </si>
  <si>
    <t>Sewer Jet Chassis-Single Axle</t>
  </si>
  <si>
    <t>Sterling</t>
  </si>
  <si>
    <t>L7501</t>
  </si>
  <si>
    <t>Low-Boy Tractor</t>
  </si>
  <si>
    <t>CT6605</t>
  </si>
  <si>
    <t>Crysteel</t>
  </si>
  <si>
    <t>HookLoader</t>
  </si>
  <si>
    <t>PLOW, REVERSE 10'</t>
  </si>
  <si>
    <t>Henke</t>
  </si>
  <si>
    <t>Rel10</t>
  </si>
  <si>
    <t>PLOW-SNOW 9' (LARGE V)</t>
  </si>
  <si>
    <t>Balderson</t>
  </si>
  <si>
    <t>BVS-9'9Q PLOW</t>
  </si>
  <si>
    <t>PLOW - SCRAPER 12'</t>
  </si>
  <si>
    <t>Topkick</t>
  </si>
  <si>
    <t>Mp41r12 Plow</t>
  </si>
  <si>
    <t>Plow-snow (large Side)</t>
  </si>
  <si>
    <t>Plow</t>
  </si>
  <si>
    <t>PLOW-SNOW 12' (LARGE SIDE)</t>
  </si>
  <si>
    <t>Bow-10q Plow</t>
  </si>
  <si>
    <t>Large "v" Snow Plow</t>
  </si>
  <si>
    <t>BALDERSON 14'</t>
  </si>
  <si>
    <t>Bvs 9-9q Plow</t>
  </si>
  <si>
    <t>Plow-snow Large Reverse</t>
  </si>
  <si>
    <t>Bvs9-9q Plow</t>
  </si>
  <si>
    <t>Mp41r12</t>
  </si>
  <si>
    <t>Plow-snow (small V)</t>
  </si>
  <si>
    <t>Plow - Large Reverse</t>
  </si>
  <si>
    <t>Plow-snow (large V)</t>
  </si>
  <si>
    <t>Henderson</t>
  </si>
  <si>
    <t>Hp12421s2me</t>
  </si>
  <si>
    <t>Snow Plow</t>
  </si>
  <si>
    <t>Mp48r12-istme2</t>
  </si>
  <si>
    <t>Mp48r12isctme2</t>
  </si>
  <si>
    <t>Mp48r12fsct</t>
  </si>
  <si>
    <t>1590EQ</t>
  </si>
  <si>
    <t>Mp48r12,15ct</t>
  </si>
  <si>
    <t>1602EQ</t>
  </si>
  <si>
    <t>Plow-snow (medium Rev)</t>
  </si>
  <si>
    <t>Root</t>
  </si>
  <si>
    <t>Rt6211 Plow</t>
  </si>
  <si>
    <t>1606EQ</t>
  </si>
  <si>
    <t>Wing Plow</t>
  </si>
  <si>
    <t>Hh34</t>
  </si>
  <si>
    <t>MP48R12ISCTME2</t>
  </si>
  <si>
    <t>1650EQ</t>
  </si>
  <si>
    <t>MP48R12</t>
  </si>
  <si>
    <t>MLDBRD</t>
  </si>
  <si>
    <t>PLOW 12'</t>
  </si>
  <si>
    <t>RH Junior Wing Plows</t>
  </si>
  <si>
    <t>One-Way Plow</t>
  </si>
  <si>
    <t>262- 8036</t>
  </si>
  <si>
    <t>1680EQ</t>
  </si>
  <si>
    <t>262-8036</t>
  </si>
  <si>
    <t>5929C1</t>
  </si>
  <si>
    <t>5929c1</t>
  </si>
  <si>
    <t>Mp48p12isctme2</t>
  </si>
  <si>
    <t>CAT</t>
  </si>
  <si>
    <t>1690EQ</t>
  </si>
  <si>
    <t>1691EQ</t>
  </si>
  <si>
    <t>2628036</t>
  </si>
  <si>
    <t>One way Plow</t>
  </si>
  <si>
    <t>Mp48p12iscime2</t>
  </si>
  <si>
    <t>1742EQ</t>
  </si>
  <si>
    <t>60" Commercial Mower</t>
  </si>
  <si>
    <t>New Holland</t>
  </si>
  <si>
    <t>MC22</t>
  </si>
  <si>
    <t>Boom Mower</t>
  </si>
  <si>
    <t>Tiger</t>
  </si>
  <si>
    <t>TRB50CHP</t>
  </si>
  <si>
    <t>Rotary Mower</t>
  </si>
  <si>
    <t>Bush Hog</t>
  </si>
  <si>
    <t>2720</t>
  </si>
  <si>
    <t>1750EQ</t>
  </si>
  <si>
    <t>60" Flail Mower-Mid Mount</t>
  </si>
  <si>
    <t>Alamo Versa</t>
  </si>
  <si>
    <t>VM 60</t>
  </si>
  <si>
    <t>74" Flail Mower</t>
  </si>
  <si>
    <t>Alamo</t>
  </si>
  <si>
    <t>VF-74 Versa</t>
  </si>
  <si>
    <t>TRB-50CHP</t>
  </si>
  <si>
    <t>21' Triple Flail Mower</t>
  </si>
  <si>
    <t>Side Rotary Mower</t>
  </si>
  <si>
    <t>Payload Drop Down Deck Tilt Bed Trailer</t>
  </si>
  <si>
    <t>Towmaster</t>
  </si>
  <si>
    <t>T-12DT</t>
  </si>
  <si>
    <t>Trailking</t>
  </si>
  <si>
    <t>Tk32</t>
  </si>
  <si>
    <t>Interstate</t>
  </si>
  <si>
    <t>Flatbed 24dta</t>
  </si>
  <si>
    <t>Pole Trailer</t>
  </si>
  <si>
    <t>Dynaweld</t>
  </si>
  <si>
    <t>1AXL</t>
  </si>
  <si>
    <t>Payload Flatbed Trailer</t>
  </si>
  <si>
    <t>40DLA</t>
  </si>
  <si>
    <t>Built in House</t>
  </si>
  <si>
    <t>Gooseneck Trailer</t>
  </si>
  <si>
    <t>Trail King</t>
  </si>
  <si>
    <t>TK110HDG20CU</t>
  </si>
  <si>
    <t>Permacast Trailer</t>
  </si>
  <si>
    <t>Permacast</t>
  </si>
  <si>
    <t>PC20HDD</t>
  </si>
  <si>
    <t>12' TILT TRAILER</t>
  </si>
  <si>
    <t>BIL-JAX</t>
  </si>
  <si>
    <t>EXCALATE</t>
  </si>
  <si>
    <t>12' Tilt Trailer</t>
  </si>
  <si>
    <t>Bil-Jax</t>
  </si>
  <si>
    <t>Excalate</t>
  </si>
  <si>
    <t>Farm Wagon Trailer</t>
  </si>
  <si>
    <t>Pequea</t>
  </si>
  <si>
    <t>606</t>
  </si>
  <si>
    <t>Crash Barrier</t>
  </si>
  <si>
    <t>Safe Stop</t>
  </si>
  <si>
    <t>Trafcon</t>
  </si>
  <si>
    <t>Arrow-Flasher</t>
  </si>
  <si>
    <t>Culvert Equipment</t>
  </si>
  <si>
    <t>AP/M</t>
  </si>
  <si>
    <t>NCPA Hot Patcher</t>
  </si>
  <si>
    <t>KMI</t>
  </si>
  <si>
    <t>KM8000TEDD</t>
  </si>
  <si>
    <t>Terex Portable Lite Tower</t>
  </si>
  <si>
    <t>Terex</t>
  </si>
  <si>
    <t>RL4</t>
  </si>
  <si>
    <t>Made In House Trailer</t>
  </si>
  <si>
    <t>In House</t>
  </si>
  <si>
    <t>Drop Deck Trailer</t>
  </si>
  <si>
    <t>T12DT</t>
  </si>
  <si>
    <t>SMT</t>
  </si>
  <si>
    <t>Trailers</t>
  </si>
  <si>
    <t>TKT40LP</t>
  </si>
  <si>
    <t>Scorpion</t>
  </si>
  <si>
    <t>TL-3</t>
  </si>
  <si>
    <t>Tag Trailer</t>
  </si>
  <si>
    <t>40 DLA</t>
  </si>
  <si>
    <t>Arrowboard</t>
  </si>
  <si>
    <t>Wanco</t>
  </si>
  <si>
    <t>WTSP</t>
  </si>
  <si>
    <t>1900EQ</t>
  </si>
  <si>
    <t>Grader</t>
  </si>
  <si>
    <t>160M-G13</t>
  </si>
  <si>
    <t>160M15</t>
  </si>
  <si>
    <t>Grader (Lease)</t>
  </si>
  <si>
    <t>870GP</t>
  </si>
  <si>
    <t>160H</t>
  </si>
  <si>
    <t>Cateripillar</t>
  </si>
  <si>
    <t>160M</t>
  </si>
  <si>
    <t>160M2</t>
  </si>
  <si>
    <t>Patcher II</t>
  </si>
  <si>
    <t>Crafco</t>
  </si>
  <si>
    <t>Asphalt Recycler</t>
  </si>
  <si>
    <t>Bagela</t>
  </si>
  <si>
    <t>BA 10000</t>
  </si>
  <si>
    <t>Scarifier</t>
  </si>
  <si>
    <t>Asphalt Hot Patcher</t>
  </si>
  <si>
    <t>Wetting System</t>
  </si>
  <si>
    <t>2@110"-250Gal</t>
  </si>
  <si>
    <t>Stahlin</t>
  </si>
  <si>
    <t>Wheel Loader Weighing System</t>
  </si>
  <si>
    <t>Loadrite</t>
  </si>
  <si>
    <t>L2180</t>
  </si>
  <si>
    <t>Slope Laser w/battery</t>
  </si>
  <si>
    <t>Topcon</t>
  </si>
  <si>
    <t>RL-200 IS</t>
  </si>
  <si>
    <t>BVS-90'90</t>
  </si>
  <si>
    <t>BVS-9090</t>
  </si>
  <si>
    <t>Utility Locator</t>
  </si>
  <si>
    <t>Radiodetection</t>
  </si>
  <si>
    <t>RD7000</t>
  </si>
  <si>
    <t>15,500 lb. Pneumatic Forklift</t>
  </si>
  <si>
    <t>DP70N</t>
  </si>
  <si>
    <t>Fork Carriage</t>
  </si>
  <si>
    <t>345-2417</t>
  </si>
  <si>
    <t>BA30</t>
  </si>
  <si>
    <t>AP555E</t>
  </si>
  <si>
    <t>VIBCO Roller</t>
  </si>
  <si>
    <t>14" Cut-Off Saw</t>
  </si>
  <si>
    <t>K760</t>
  </si>
  <si>
    <t>HT101</t>
  </si>
  <si>
    <t>Liftgate</t>
  </si>
  <si>
    <t>Thieman</t>
  </si>
  <si>
    <t>TT15RM</t>
  </si>
  <si>
    <t>Welder/Generator</t>
  </si>
  <si>
    <t>Goodall</t>
  </si>
  <si>
    <t>5000</t>
  </si>
  <si>
    <t>12" Concrete Saw</t>
  </si>
  <si>
    <t>ICS</t>
  </si>
  <si>
    <t>613GC-12</t>
  </si>
  <si>
    <t>Tack Tank</t>
  </si>
  <si>
    <t>Hot Patcher</t>
  </si>
  <si>
    <t>KM8000THDX</t>
  </si>
  <si>
    <t>Jamar</t>
  </si>
  <si>
    <t>RAC Plus1</t>
  </si>
  <si>
    <t>RAC Plus</t>
  </si>
  <si>
    <t>RAC Plus 1</t>
  </si>
  <si>
    <t>Concrete Saw - Walk Behind</t>
  </si>
  <si>
    <t>FS7000-15</t>
  </si>
  <si>
    <t>365-24</t>
  </si>
  <si>
    <t>Hydraulic Drop Hammer</t>
  </si>
  <si>
    <t>H75E</t>
  </si>
  <si>
    <t>KM 8000</t>
  </si>
  <si>
    <t>Aerial Boom</t>
  </si>
  <si>
    <t>Duralift</t>
  </si>
  <si>
    <t>DPM-47MH</t>
  </si>
  <si>
    <t>Conflict Monitor Tester</t>
  </si>
  <si>
    <t>PCMT8000</t>
  </si>
  <si>
    <t>Data Torque</t>
  </si>
  <si>
    <t>Laser Level</t>
  </si>
  <si>
    <t>Geoshack</t>
  </si>
  <si>
    <t>RL200</t>
  </si>
  <si>
    <t>Hook Loader</t>
  </si>
  <si>
    <t>De-Icing Unit w/boom kit - 2350ga</t>
  </si>
  <si>
    <t>De-Icing Unit</t>
  </si>
  <si>
    <t>Pump</t>
  </si>
  <si>
    <t>Honda</t>
  </si>
  <si>
    <t>WX10A</t>
  </si>
  <si>
    <t>Message Board</t>
  </si>
  <si>
    <t>WTLMB</t>
  </si>
  <si>
    <t>Arrowboard Rear Mounted</t>
  </si>
  <si>
    <t>Sho-me</t>
  </si>
  <si>
    <t>Hot Water Pressure Washer</t>
  </si>
  <si>
    <t>Hydrotek</t>
  </si>
  <si>
    <t>SCX35006D12</t>
  </si>
  <si>
    <t>Power System Air Compressor</t>
  </si>
  <si>
    <t>VanAir</t>
  </si>
  <si>
    <t>Rancher 455</t>
  </si>
  <si>
    <t>Whelen</t>
  </si>
  <si>
    <t>TP-870</t>
  </si>
  <si>
    <t>Liftmoore</t>
  </si>
  <si>
    <t>Anti-Icing</t>
  </si>
  <si>
    <t>ASU, 525 GAL</t>
  </si>
  <si>
    <t>Superhaul Body (Fencing)</t>
  </si>
  <si>
    <t>Superhaul Body</t>
  </si>
  <si>
    <t>36" Bucket on Gradall</t>
  </si>
  <si>
    <t>40" Pavement Removal Bucket</t>
  </si>
  <si>
    <t>Tailgate Salter</t>
  </si>
  <si>
    <t>VTMS-8966-RF-GB</t>
  </si>
  <si>
    <t>VTMS-966-RF-GB</t>
  </si>
  <si>
    <t>MS966-RF-GB/304</t>
  </si>
  <si>
    <t>36" Digging Bucket on Gradall</t>
  </si>
  <si>
    <t>00015375</t>
  </si>
  <si>
    <t>Plumbing Kit</t>
  </si>
  <si>
    <t>72" Ditching Bucket on Gradall</t>
  </si>
  <si>
    <t>72" Ditching Bucket</t>
  </si>
  <si>
    <t>60" Ditching Bucket for Gradalls</t>
  </si>
  <si>
    <t>24" Digging Bucket</t>
  </si>
  <si>
    <t>Frost Tooth on Gradall</t>
  </si>
  <si>
    <t>24"  Excavating Bucket</t>
  </si>
  <si>
    <t>360-3320</t>
  </si>
  <si>
    <t>Pincher Bucket</t>
  </si>
  <si>
    <t>Allman Eclipse</t>
  </si>
  <si>
    <t>Allmand Eclipse</t>
  </si>
  <si>
    <t>AB2220</t>
  </si>
  <si>
    <t>SE2200</t>
  </si>
  <si>
    <t>Duralift Boom</t>
  </si>
  <si>
    <t>Hydraulic Saw</t>
  </si>
  <si>
    <t>Stanley</t>
  </si>
  <si>
    <t>CS-06</t>
  </si>
  <si>
    <t>Hydraulic Hammer</t>
  </si>
  <si>
    <t>BR45-150</t>
  </si>
  <si>
    <t>Made in House</t>
  </si>
  <si>
    <t>own make</t>
  </si>
  <si>
    <t>Hydraulic Post Puller</t>
  </si>
  <si>
    <t>Bemis</t>
  </si>
  <si>
    <t>PPF-195</t>
  </si>
  <si>
    <t>8 Ton Rubber Tired Rollers</t>
  </si>
  <si>
    <t>Hamm</t>
  </si>
  <si>
    <t>GRW280-10</t>
  </si>
  <si>
    <t>Gas Mechanical Airless Paint Sprayer</t>
  </si>
  <si>
    <t>GMAX</t>
  </si>
  <si>
    <t>3900</t>
  </si>
  <si>
    <t>8 Ton Rubber Tired Roller</t>
  </si>
  <si>
    <t>Hydrostatically Driven 4WD Chip Spreader</t>
  </si>
  <si>
    <t>4WD Chip Spread</t>
  </si>
  <si>
    <t>Concrete Saw</t>
  </si>
  <si>
    <t>EZ Drill Dowell Drill</t>
  </si>
  <si>
    <t>E-Z Drill</t>
  </si>
  <si>
    <t>240BSRA</t>
  </si>
  <si>
    <t>Duo Screed</t>
  </si>
  <si>
    <t>Multiquip</t>
  </si>
  <si>
    <t>GX35</t>
  </si>
  <si>
    <t>WX10</t>
  </si>
  <si>
    <t>Maxon</t>
  </si>
  <si>
    <t>M.M.</t>
  </si>
  <si>
    <t>Stellar</t>
  </si>
  <si>
    <t>1302E</t>
  </si>
  <si>
    <t>Tandem Vibratory Roller</t>
  </si>
  <si>
    <t>Ms966rf-gb</t>
  </si>
  <si>
    <t>V-bottom Salter</t>
  </si>
  <si>
    <t>Msv1568462/304</t>
  </si>
  <si>
    <t>Addco</t>
  </si>
  <si>
    <t>DH1000</t>
  </si>
  <si>
    <t>Powered Air Broom (blower)</t>
  </si>
  <si>
    <t>Lil Wonder</t>
  </si>
  <si>
    <t>EQS-00061</t>
  </si>
  <si>
    <t>Gamma</t>
  </si>
  <si>
    <t>6060001</t>
  </si>
  <si>
    <t>606001</t>
  </si>
  <si>
    <t>Delta lllB</t>
  </si>
  <si>
    <t>6036002</t>
  </si>
  <si>
    <t>Delta IIIB</t>
  </si>
  <si>
    <t>Post Driver</t>
  </si>
  <si>
    <t>PD45</t>
  </si>
  <si>
    <t>Reclaimer</t>
  </si>
  <si>
    <t>Combination Sewer Cleaner</t>
  </si>
  <si>
    <t>2110</t>
  </si>
  <si>
    <t>Cab Tractor</t>
  </si>
  <si>
    <t>T6030</t>
  </si>
  <si>
    <t>T6010</t>
  </si>
  <si>
    <t>Forklift Truck</t>
  </si>
  <si>
    <t>JCB</t>
  </si>
  <si>
    <t>930 4WD</t>
  </si>
  <si>
    <t>Plus Tractor</t>
  </si>
  <si>
    <t>T6020</t>
  </si>
  <si>
    <t>RAC +1-MS-K</t>
  </si>
  <si>
    <t>Angle Broom</t>
  </si>
  <si>
    <t>Cargill Accu</t>
  </si>
  <si>
    <t>Sandblaster</t>
  </si>
  <si>
    <t>Clemco</t>
  </si>
  <si>
    <t>00912</t>
  </si>
  <si>
    <t>Michigan CAT</t>
  </si>
  <si>
    <t>924GIT</t>
  </si>
  <si>
    <t>Winch</t>
  </si>
  <si>
    <t>K750</t>
  </si>
  <si>
    <t>16" Concrete Saw</t>
  </si>
  <si>
    <t>K960</t>
  </si>
  <si>
    <t>365</t>
  </si>
  <si>
    <t>String Trimmer</t>
  </si>
  <si>
    <t>FS110</t>
  </si>
  <si>
    <t>42" Chainsaw</t>
  </si>
  <si>
    <t>Tommy Gate</t>
  </si>
  <si>
    <t>PST60</t>
  </si>
  <si>
    <t>16" Cut off saw</t>
  </si>
  <si>
    <t>3120K</t>
  </si>
  <si>
    <t>Brush Chipper</t>
  </si>
  <si>
    <t>Vermeer</t>
  </si>
  <si>
    <t>BC1230A</t>
  </si>
  <si>
    <t>Sweeper, Rider</t>
  </si>
  <si>
    <t>Tennant</t>
  </si>
  <si>
    <t>6500</t>
  </si>
  <si>
    <t>Towable Diesel Brush Chipper</t>
  </si>
  <si>
    <t>1230a</t>
  </si>
  <si>
    <t>Towable Stump Cutter</t>
  </si>
  <si>
    <t>502a</t>
  </si>
  <si>
    <t>Multi Quip</t>
  </si>
  <si>
    <t>SP2S13H2O</t>
  </si>
  <si>
    <t>Scissor Lift</t>
  </si>
  <si>
    <t>Genie</t>
  </si>
  <si>
    <t>GS1930</t>
  </si>
  <si>
    <t>18" Chainsaw</t>
  </si>
  <si>
    <t>MS310</t>
  </si>
  <si>
    <t>Walk-behind Concrete Saw</t>
  </si>
  <si>
    <t>Target</t>
  </si>
  <si>
    <t>C50275</t>
  </si>
  <si>
    <t>9 CUBIC FOOT CONCRETE MIXER</t>
  </si>
  <si>
    <t>Stone</t>
  </si>
  <si>
    <t>95cmed</t>
  </si>
  <si>
    <t>Ingersoll-Rand</t>
  </si>
  <si>
    <t>DD-28HF</t>
  </si>
  <si>
    <t>Digger Derrick (Auger)</t>
  </si>
  <si>
    <t>VXD-50</t>
  </si>
  <si>
    <t>String Trimmers</t>
  </si>
  <si>
    <t>Root &amp; Grease Cutter</t>
  </si>
  <si>
    <t>Patriot</t>
  </si>
  <si>
    <t>91086-39-F</t>
  </si>
  <si>
    <t>Portable Vehicle Scale</t>
  </si>
  <si>
    <t>Haenni</t>
  </si>
  <si>
    <t>WL101</t>
  </si>
  <si>
    <t>Sullair</t>
  </si>
  <si>
    <t>375 Dlq-jd</t>
  </si>
  <si>
    <t>Paint Grinder</t>
  </si>
  <si>
    <t>Eladicator I</t>
  </si>
  <si>
    <t>FS200</t>
  </si>
  <si>
    <t>2" Trash Pump</t>
  </si>
  <si>
    <t>QP-2TH</t>
  </si>
  <si>
    <t>Gas Powered Welder</t>
  </si>
  <si>
    <t>MillerTrailblaz</t>
  </si>
  <si>
    <t>301 G</t>
  </si>
  <si>
    <t>Portable Air Compressor</t>
  </si>
  <si>
    <t>Ingersoll Rand</t>
  </si>
  <si>
    <t>P135WIR</t>
  </si>
  <si>
    <t>ADDCO</t>
  </si>
  <si>
    <t>DH 1000</t>
  </si>
  <si>
    <t>BC1400</t>
  </si>
  <si>
    <t>Portable Vehicle Scales</t>
  </si>
  <si>
    <t>TT-15</t>
  </si>
  <si>
    <t>Trailer Mounted Flash Arrow</t>
  </si>
  <si>
    <t>Made In House</t>
  </si>
  <si>
    <t>T4162</t>
  </si>
  <si>
    <t>Shd-43a</t>
  </si>
  <si>
    <t>Landa</t>
  </si>
  <si>
    <t>Sdhwg3500</t>
  </si>
  <si>
    <t>Trailer Mounted Flash, Arrow</t>
  </si>
  <si>
    <t>Pgdc5-35221e</t>
  </si>
  <si>
    <t>Trailer Mounted Flash,arrow</t>
  </si>
  <si>
    <t>Boat, Dinghy (1278)</t>
  </si>
  <si>
    <t>Ensign</t>
  </si>
  <si>
    <t>Dingy</t>
  </si>
  <si>
    <t>Sullivan</t>
  </si>
  <si>
    <t>D185qv</t>
  </si>
  <si>
    <t>Saw, Concrete(14" Blade)</t>
  </si>
  <si>
    <t>Mcs1111h-blade</t>
  </si>
  <si>
    <t>T12 Trailer</t>
  </si>
  <si>
    <t>Compressor, Air (1225)</t>
  </si>
  <si>
    <t>Emglo</t>
  </si>
  <si>
    <t>Y11gb30 Aircomp</t>
  </si>
  <si>
    <t>Equipment Washer</t>
  </si>
  <si>
    <t>Ex-cell</t>
  </si>
  <si>
    <t>3995gevla Washr</t>
  </si>
  <si>
    <t>Pressure Washer</t>
  </si>
  <si>
    <t>Ex-cell, Elite</t>
  </si>
  <si>
    <t>3005gevla</t>
  </si>
  <si>
    <t>Post Driver (947.4)</t>
  </si>
  <si>
    <t>Br40650 Driver</t>
  </si>
  <si>
    <t>Arrow, Port. Trailer-mtd Flash</t>
  </si>
  <si>
    <t>Dietz</t>
  </si>
  <si>
    <t>298-82500 Arrow</t>
  </si>
  <si>
    <t>Hydraulic Breaker</t>
  </si>
  <si>
    <t>Br45-150</t>
  </si>
  <si>
    <t>Chain Saw</t>
  </si>
  <si>
    <t>Jonsered 16"</t>
  </si>
  <si>
    <t>2065-t</t>
  </si>
  <si>
    <t>Saw, Chain (1093)</t>
  </si>
  <si>
    <t>Jonsered</t>
  </si>
  <si>
    <t>920, 42" Saw</t>
  </si>
  <si>
    <t>Saw, Chain (hyd) (1091)</t>
  </si>
  <si>
    <t>Fairmont</t>
  </si>
  <si>
    <t>H6200a, 15" Saw</t>
  </si>
  <si>
    <t>Saw, Hydraulic (951)</t>
  </si>
  <si>
    <t>Racine</t>
  </si>
  <si>
    <t>O-b12 Saw</t>
  </si>
  <si>
    <t>Saw, Hydraulic (952)</t>
  </si>
  <si>
    <t>Arrowboard, Truck-mounted</t>
  </si>
  <si>
    <t>Hi-vu</t>
  </si>
  <si>
    <t>Vm306015 Ar-brd</t>
  </si>
  <si>
    <t>Scales - One Pair</t>
  </si>
  <si>
    <t>Wl101</t>
  </si>
  <si>
    <t>6640 Tractor</t>
  </si>
  <si>
    <t>Generator</t>
  </si>
  <si>
    <t>M6769</t>
  </si>
  <si>
    <t>Rac 100 Meter</t>
  </si>
  <si>
    <t>Liftgate, Hydraulic</t>
  </si>
  <si>
    <t>Del</t>
  </si>
  <si>
    <t>Hd 4060f</t>
  </si>
  <si>
    <t>550 Gallon</t>
  </si>
  <si>
    <t>Traffic Counter (1025)</t>
  </si>
  <si>
    <t>Streeter-amet</t>
  </si>
  <si>
    <t>101b-4 Counter</t>
  </si>
  <si>
    <t>Welder (937)</t>
  </si>
  <si>
    <t>Star</t>
  </si>
  <si>
    <t>98-510l Welder</t>
  </si>
  <si>
    <t>Welder (920)</t>
  </si>
  <si>
    <t>Smith</t>
  </si>
  <si>
    <t>98 Welder</t>
  </si>
  <si>
    <t>Torch Welder (931)</t>
  </si>
  <si>
    <t>Pc Smith</t>
  </si>
  <si>
    <t>Welder</t>
  </si>
  <si>
    <t>Welder (930)</t>
  </si>
  <si>
    <t>Wrench &amp; Drill, Hyd. (991)</t>
  </si>
  <si>
    <t>H6505a Wrench</t>
  </si>
  <si>
    <t>MAT'L HANDLING ARM</t>
  </si>
  <si>
    <t>It12b Mathandlr</t>
  </si>
  <si>
    <t>Chainsaw 24"</t>
  </si>
  <si>
    <t>670</t>
  </si>
  <si>
    <t>Grade Laser</t>
  </si>
  <si>
    <t>Ls-70b</t>
  </si>
  <si>
    <t>Speed Display System</t>
  </si>
  <si>
    <t>Speed Display</t>
  </si>
  <si>
    <t>Trailer Mounted</t>
  </si>
  <si>
    <t>Commercial Tractor</t>
  </si>
  <si>
    <t>Snowblower</t>
  </si>
  <si>
    <t>716D</t>
  </si>
  <si>
    <t>TS100A</t>
  </si>
  <si>
    <t>Stahl</t>
  </si>
  <si>
    <t>3200lrx-15eh</t>
  </si>
  <si>
    <t>Auger</t>
  </si>
  <si>
    <t>Planer</t>
  </si>
  <si>
    <t>Carleton</t>
  </si>
  <si>
    <t>20337</t>
  </si>
  <si>
    <t>Anti-Icing/De-Icing System</t>
  </si>
  <si>
    <t>842266</t>
  </si>
  <si>
    <t>Rac 200</t>
  </si>
  <si>
    <t>Bull Dozer</t>
  </si>
  <si>
    <t>D5G</t>
  </si>
  <si>
    <t>Dozer Blade</t>
  </si>
  <si>
    <t>Portable Hammer Drill</t>
  </si>
  <si>
    <t>Dewalt</t>
  </si>
  <si>
    <t>Dewadw004k</t>
  </si>
  <si>
    <t>Hammer Drill</t>
  </si>
  <si>
    <t>Dewadw531k</t>
  </si>
  <si>
    <t>Hydraulic Excavator</t>
  </si>
  <si>
    <t>Gradall</t>
  </si>
  <si>
    <t>XL4100</t>
  </si>
  <si>
    <t>Excavator</t>
  </si>
  <si>
    <t>XL4100 III</t>
  </si>
  <si>
    <t>XL4100 VI</t>
  </si>
  <si>
    <t>Gradall Excavator (Lease)</t>
  </si>
  <si>
    <t>SL4100 V</t>
  </si>
  <si>
    <t>3009BK</t>
  </si>
  <si>
    <t>3009TG</t>
  </si>
  <si>
    <t>Thumb Grapple</t>
  </si>
  <si>
    <t>Tree Shear</t>
  </si>
  <si>
    <t>Guardrail Scuffer</t>
  </si>
  <si>
    <t>Vibratory Roller</t>
  </si>
  <si>
    <t>CB64 15T</t>
  </si>
  <si>
    <t>Aerial Tower</t>
  </si>
  <si>
    <t xml:space="preserve">Delphi </t>
  </si>
  <si>
    <t>Boom Aerial Tower</t>
  </si>
  <si>
    <t>SST371</t>
  </si>
  <si>
    <t>Walk-N-Roll Packer/Roller</t>
  </si>
  <si>
    <t>Walk-N-Roll</t>
  </si>
  <si>
    <t>WR90-24L</t>
  </si>
  <si>
    <t>Soil Conditioner</t>
  </si>
  <si>
    <t>Bobcat Skid-steer</t>
  </si>
  <si>
    <t>S650</t>
  </si>
  <si>
    <t>24" Planer</t>
  </si>
  <si>
    <t>24 PLA</t>
  </si>
  <si>
    <t>74" Low Profile Bucket</t>
  </si>
  <si>
    <t>Bobcat Track Loader</t>
  </si>
  <si>
    <t>T650</t>
  </si>
  <si>
    <t>80" Low Profile Bucket</t>
  </si>
  <si>
    <t>Tree Puller</t>
  </si>
  <si>
    <t>Danuser</t>
  </si>
  <si>
    <t>Intimidator</t>
  </si>
  <si>
    <t>High Lift Wheel Loader</t>
  </si>
  <si>
    <t>924HIT</t>
  </si>
  <si>
    <t>Wheel Loader</t>
  </si>
  <si>
    <t>924K</t>
  </si>
  <si>
    <t>924K15</t>
  </si>
  <si>
    <t>Backhoe Loader</t>
  </si>
  <si>
    <t>420F215</t>
  </si>
  <si>
    <t>524L</t>
  </si>
  <si>
    <t>Wheel Loader (Lease)</t>
  </si>
  <si>
    <t>962M</t>
  </si>
  <si>
    <t>926M</t>
  </si>
  <si>
    <t>Lawn Tractor</t>
  </si>
  <si>
    <t>Kubota</t>
  </si>
  <si>
    <t>V1505</t>
  </si>
  <si>
    <t>5100M</t>
  </si>
  <si>
    <t>2WD Utility Tractor</t>
  </si>
  <si>
    <t>6130M</t>
  </si>
  <si>
    <t>4WD Utility Tractor</t>
  </si>
  <si>
    <t>5115M</t>
  </si>
  <si>
    <t>72" Bucket</t>
  </si>
  <si>
    <t>Underbody Scraper</t>
  </si>
  <si>
    <t>Ms3512</t>
  </si>
  <si>
    <t>3500</t>
  </si>
  <si>
    <t>MS3500</t>
  </si>
  <si>
    <t>Small Portable Equipment 2" Trash</t>
  </si>
  <si>
    <t>WT20XK4</t>
  </si>
  <si>
    <t>WT40X</t>
  </si>
  <si>
    <t>WT20X</t>
  </si>
  <si>
    <t>GreensBroom</t>
  </si>
  <si>
    <t>2.75 CU Yd Bucket</t>
  </si>
  <si>
    <t>444-624</t>
  </si>
  <si>
    <t>Sweeper 10' Broom Hyd Angle</t>
  </si>
  <si>
    <t>Paladin Sweeper</t>
  </si>
  <si>
    <t>WLA10</t>
  </si>
  <si>
    <t>Bucket - 4.75 CU</t>
  </si>
  <si>
    <t>Blank Hooks</t>
  </si>
  <si>
    <t>MONROE 12'</t>
  </si>
  <si>
    <t>Ts-3512</t>
  </si>
  <si>
    <t>Scraper</t>
  </si>
  <si>
    <t>Tenco</t>
  </si>
  <si>
    <t>Tc912ub</t>
  </si>
  <si>
    <t>00031267</t>
  </si>
  <si>
    <t>M53512</t>
  </si>
  <si>
    <t>Grader Blades</t>
  </si>
  <si>
    <t>Sandvick</t>
  </si>
  <si>
    <t>Fixed Thumb Grapple (Lease)</t>
  </si>
  <si>
    <t>60" Fork Tines</t>
  </si>
  <si>
    <t>60" Fork tines</t>
  </si>
  <si>
    <t>SWLFQ 60"</t>
  </si>
  <si>
    <t>Limestone Blade W/rotating Tip</t>
  </si>
  <si>
    <t>Sandvik</t>
  </si>
  <si>
    <t>Blade Sys/200</t>
  </si>
  <si>
    <t>Grader Blade</t>
  </si>
  <si>
    <t>System 2000</t>
  </si>
  <si>
    <t>Carbide Blade</t>
  </si>
  <si>
    <t>SC20100/SC20105</t>
  </si>
  <si>
    <t>Gravel Blade w/rotating tips</t>
  </si>
  <si>
    <t>Kennemetal</t>
  </si>
  <si>
    <t>Stinger</t>
  </si>
  <si>
    <t>Guidance Laser</t>
  </si>
  <si>
    <t>Laserline</t>
  </si>
  <si>
    <t>GL3000PMC</t>
  </si>
  <si>
    <t>Radios (501.0)</t>
  </si>
  <si>
    <t>Radios</t>
  </si>
  <si>
    <t>Inverter-Generator</t>
  </si>
  <si>
    <t>JD - Henke</t>
  </si>
  <si>
    <t>PLG11</t>
  </si>
  <si>
    <t>Phones, Cellular</t>
  </si>
  <si>
    <t>Uniden</t>
  </si>
  <si>
    <t>72" Ditching Bucket on Gradall (Lease)</t>
  </si>
  <si>
    <t>Telematic Boxes</t>
  </si>
  <si>
    <t>Verizon</t>
  </si>
  <si>
    <t>5500N4VL</t>
  </si>
  <si>
    <t>SkyHawk</t>
  </si>
  <si>
    <t>AL11</t>
  </si>
  <si>
    <t>Samsara</t>
  </si>
  <si>
    <t>Bucket - 2.70 CU YD</t>
  </si>
  <si>
    <t>FS 400LV</t>
  </si>
  <si>
    <t>Tandem Axle Dump Truck</t>
  </si>
  <si>
    <t>Volvo</t>
  </si>
  <si>
    <t>VHD64F200</t>
  </si>
  <si>
    <t>International Tandem Axle Dump Truck</t>
  </si>
  <si>
    <t>7600SBA 6 x 4</t>
  </si>
  <si>
    <t>74600SBA 6 x 4</t>
  </si>
  <si>
    <t>Tri-Axle Dump Truck</t>
  </si>
  <si>
    <t>2350-gallon De-Icing Unit w/boom kit</t>
  </si>
  <si>
    <t>Anti Ice</t>
  </si>
  <si>
    <t>monroe</t>
  </si>
  <si>
    <t>MP48R12-ISCTME2</t>
  </si>
  <si>
    <t>MP48R12ISTCME2</t>
  </si>
  <si>
    <t>MP48R12lSTEME2</t>
  </si>
  <si>
    <t>MP48R12SCTME2</t>
  </si>
  <si>
    <t>MP48R12ISTEME2</t>
  </si>
  <si>
    <t>MP48R12ISTME2</t>
  </si>
  <si>
    <t>mp48r12isctme2</t>
  </si>
  <si>
    <t>MP48R1215CTME2</t>
  </si>
  <si>
    <t>MP48R121SCTME2</t>
  </si>
  <si>
    <t>MP48R121CTME2</t>
  </si>
  <si>
    <t>MP48R12-15CTME2</t>
  </si>
  <si>
    <t>HH34</t>
  </si>
  <si>
    <t>Wing Plow RH Para Glide</t>
  </si>
  <si>
    <t>95F-WMB</t>
  </si>
  <si>
    <t>95F WMB</t>
  </si>
  <si>
    <t>9SFWMB</t>
  </si>
  <si>
    <t>9SF-WMB</t>
  </si>
  <si>
    <t>96FWMB</t>
  </si>
  <si>
    <t>9.6 MVP</t>
  </si>
  <si>
    <t>V Plow</t>
  </si>
  <si>
    <t>Boss</t>
  </si>
  <si>
    <t>DXT9.2</t>
  </si>
  <si>
    <t>Western</t>
  </si>
  <si>
    <t>MVP3</t>
  </si>
  <si>
    <t>9PWL316STRRHL</t>
  </si>
  <si>
    <t>Para Patrol RH</t>
  </si>
  <si>
    <t>RH Wing</t>
  </si>
  <si>
    <t>9' Paraglide Patrol Wing RH</t>
  </si>
  <si>
    <t>LaserLine</t>
  </si>
  <si>
    <t>G13000PMC</t>
  </si>
  <si>
    <t>Laser Line</t>
  </si>
  <si>
    <t>GL3000</t>
  </si>
  <si>
    <t>GM3000PMC</t>
  </si>
  <si>
    <t>Laserline MFG</t>
  </si>
  <si>
    <t>MS 3512</t>
  </si>
  <si>
    <t>MS3512</t>
  </si>
  <si>
    <t>MS4512</t>
  </si>
  <si>
    <t>12UBS</t>
  </si>
  <si>
    <t>MS966-RF-GB</t>
  </si>
  <si>
    <t>V-Box Salter</t>
  </si>
  <si>
    <t>V-Plow Salt Spreader</t>
  </si>
  <si>
    <t>V-Box Salt Spreader</t>
  </si>
  <si>
    <t>MSV1568462304</t>
  </si>
  <si>
    <t>RDS Radius Dump Spreader Body</t>
  </si>
  <si>
    <t>RDS-168-95-56</t>
  </si>
  <si>
    <t>168-96-56FR-RR</t>
  </si>
  <si>
    <t>RDS168-96-56</t>
  </si>
  <si>
    <t>RDS-168-9656</t>
  </si>
  <si>
    <t>RDS-168-96-56</t>
  </si>
  <si>
    <t>MCV-216-84-62</t>
  </si>
  <si>
    <t>NCV-216-84-62</t>
  </si>
  <si>
    <t>MCV2168462SF2</t>
  </si>
  <si>
    <t>MCV216-84-62</t>
  </si>
  <si>
    <t>MCY-216-84-62</t>
  </si>
  <si>
    <t>Spreader V-Box</t>
  </si>
  <si>
    <t>MCV1688462DA</t>
  </si>
  <si>
    <t>RDS1689656FRRR</t>
  </si>
  <si>
    <t>MSVAUSST</t>
  </si>
  <si>
    <t>V-Box 14' 201 SS MCV Spreader</t>
  </si>
  <si>
    <t>660TT</t>
  </si>
  <si>
    <t>Transfer Tank</t>
  </si>
  <si>
    <t>669TT</t>
  </si>
  <si>
    <t>670TT</t>
  </si>
  <si>
    <t>671TT</t>
  </si>
  <si>
    <t>675TT</t>
  </si>
  <si>
    <t>676TT</t>
  </si>
  <si>
    <t>677TT</t>
  </si>
  <si>
    <t>683DM</t>
  </si>
  <si>
    <t>684DM</t>
  </si>
  <si>
    <t>685DM</t>
  </si>
  <si>
    <t>686DM</t>
  </si>
  <si>
    <t>687TT</t>
  </si>
  <si>
    <t>688TT</t>
  </si>
  <si>
    <t>689DM</t>
  </si>
  <si>
    <t>690DM</t>
  </si>
  <si>
    <t>691DM</t>
  </si>
  <si>
    <t>692DM</t>
  </si>
  <si>
    <t>693DM</t>
  </si>
  <si>
    <t>1133VB</t>
  </si>
  <si>
    <t>MD108-50-44</t>
  </si>
  <si>
    <t>1135TT</t>
  </si>
  <si>
    <t>1160ML</t>
  </si>
  <si>
    <t>Aerial/Platform Man Lift</t>
  </si>
  <si>
    <t>VST-40N</t>
  </si>
  <si>
    <t>1160PD</t>
  </si>
  <si>
    <t>PD-45</t>
  </si>
  <si>
    <t>1160PP</t>
  </si>
  <si>
    <t>PPF-295</t>
  </si>
  <si>
    <t>1161LB</t>
  </si>
  <si>
    <t>1161PL</t>
  </si>
  <si>
    <t>MBP3</t>
  </si>
  <si>
    <t>1271AB</t>
  </si>
  <si>
    <t>Rear Mounted Arrowboard</t>
  </si>
  <si>
    <t>Sho-mi</t>
  </si>
  <si>
    <t>1309AI</t>
  </si>
  <si>
    <t>Anti-Ice</t>
  </si>
  <si>
    <t>1312AI</t>
  </si>
  <si>
    <t>1312DB</t>
  </si>
  <si>
    <t>1312PW</t>
  </si>
  <si>
    <t>Flowmeter</t>
  </si>
  <si>
    <t>1312SC</t>
  </si>
  <si>
    <t>1312SL</t>
  </si>
  <si>
    <t>Swaploader</t>
  </si>
  <si>
    <t>1312VB</t>
  </si>
  <si>
    <t>1312WG</t>
  </si>
  <si>
    <t>00181637</t>
  </si>
  <si>
    <t>1317AI</t>
  </si>
  <si>
    <t>1317DB</t>
  </si>
  <si>
    <t>1317PW</t>
  </si>
  <si>
    <t>1317SC</t>
  </si>
  <si>
    <t>1317SL</t>
  </si>
  <si>
    <t>1317VB</t>
  </si>
  <si>
    <t>1317WG</t>
  </si>
  <si>
    <t>1319DB</t>
  </si>
  <si>
    <t>1319PW</t>
  </si>
  <si>
    <t>1319SC</t>
  </si>
  <si>
    <t>1319SL</t>
  </si>
  <si>
    <t>1319VB</t>
  </si>
  <si>
    <t>1319WG</t>
  </si>
  <si>
    <t>1325DB</t>
  </si>
  <si>
    <t>1325PW</t>
  </si>
  <si>
    <t>1325SC</t>
  </si>
  <si>
    <t>1325SL</t>
  </si>
  <si>
    <t>1325VB</t>
  </si>
  <si>
    <t>1325WG</t>
  </si>
  <si>
    <t>1326DB</t>
  </si>
  <si>
    <t>1326PW</t>
  </si>
  <si>
    <t>1326SC</t>
  </si>
  <si>
    <t>1326SL</t>
  </si>
  <si>
    <t>1326VB</t>
  </si>
  <si>
    <t>1326WG</t>
  </si>
  <si>
    <t>1327AI</t>
  </si>
  <si>
    <t>1327DB</t>
  </si>
  <si>
    <t>1327PW</t>
  </si>
  <si>
    <t>1327SC</t>
  </si>
  <si>
    <t>1327SL</t>
  </si>
  <si>
    <t>1327VB</t>
  </si>
  <si>
    <t>1327WG</t>
  </si>
  <si>
    <t>1329DB</t>
  </si>
  <si>
    <t>1329PW</t>
  </si>
  <si>
    <t>1329SC</t>
  </si>
  <si>
    <t>1329SL</t>
  </si>
  <si>
    <t>1329VB</t>
  </si>
  <si>
    <t>1329WG</t>
  </si>
  <si>
    <t>1332PW</t>
  </si>
  <si>
    <t>1332SC</t>
  </si>
  <si>
    <t>1332VB</t>
  </si>
  <si>
    <t>1332WG</t>
  </si>
  <si>
    <t>1338PW</t>
  </si>
  <si>
    <t>1338SC</t>
  </si>
  <si>
    <t>1338VB</t>
  </si>
  <si>
    <t>1338WG</t>
  </si>
  <si>
    <t>1339PW</t>
  </si>
  <si>
    <t>1339SC</t>
  </si>
  <si>
    <t>1339VB</t>
  </si>
  <si>
    <t>1339WG</t>
  </si>
  <si>
    <t>1340PW</t>
  </si>
  <si>
    <t>1340SC</t>
  </si>
  <si>
    <t>1340VB</t>
  </si>
  <si>
    <t>1340WG</t>
  </si>
  <si>
    <t>1357PW</t>
  </si>
  <si>
    <t>1357SC</t>
  </si>
  <si>
    <t>1357VB</t>
  </si>
  <si>
    <t>1357WG</t>
  </si>
  <si>
    <t>1358PW</t>
  </si>
  <si>
    <t>1358SC</t>
  </si>
  <si>
    <t>1358VB</t>
  </si>
  <si>
    <t>Monore</t>
  </si>
  <si>
    <t>1358WG</t>
  </si>
  <si>
    <t>1359PW</t>
  </si>
  <si>
    <t>1359SC</t>
  </si>
  <si>
    <t>1359VB</t>
  </si>
  <si>
    <t>1359WG</t>
  </si>
  <si>
    <t>1361DB</t>
  </si>
  <si>
    <t>1361PW</t>
  </si>
  <si>
    <t>1361SC</t>
  </si>
  <si>
    <t>1361VB</t>
  </si>
  <si>
    <t>1361WG</t>
  </si>
  <si>
    <t>1381DB</t>
  </si>
  <si>
    <t>1381PW</t>
  </si>
  <si>
    <t>1381SC</t>
  </si>
  <si>
    <t>1381VB</t>
  </si>
  <si>
    <t>1381WG</t>
  </si>
  <si>
    <t>1382DB</t>
  </si>
  <si>
    <t>1382PW</t>
  </si>
  <si>
    <t>1382SC</t>
  </si>
  <si>
    <t>1382VB</t>
  </si>
  <si>
    <t>1382WG</t>
  </si>
  <si>
    <t>151SE</t>
  </si>
  <si>
    <t>Torque Multiplier</t>
  </si>
  <si>
    <t>Snap-On</t>
  </si>
  <si>
    <t>1848AB</t>
  </si>
  <si>
    <t>1850AB</t>
  </si>
  <si>
    <t>1900RT</t>
  </si>
  <si>
    <t>Shoulder Retriever</t>
  </si>
  <si>
    <t>Walk N Roll</t>
  </si>
  <si>
    <t>1901RT</t>
  </si>
  <si>
    <t>1994RT</t>
  </si>
  <si>
    <t>1996RT</t>
  </si>
  <si>
    <t>1997RT</t>
  </si>
  <si>
    <t>1998RT</t>
  </si>
  <si>
    <t>2108UL</t>
  </si>
  <si>
    <t>RD7200</t>
  </si>
  <si>
    <t>2401ST</t>
  </si>
  <si>
    <t>FS91</t>
  </si>
  <si>
    <t>2402ST</t>
  </si>
  <si>
    <t>2403ST</t>
  </si>
  <si>
    <t>2404ST</t>
  </si>
  <si>
    <t>2405ST</t>
  </si>
  <si>
    <t>FS91R</t>
  </si>
  <si>
    <t>2406BL</t>
  </si>
  <si>
    <t>Backpack Leaf Bloser</t>
  </si>
  <si>
    <t>BR800</t>
  </si>
  <si>
    <t>2406ST</t>
  </si>
  <si>
    <t>2407ST</t>
  </si>
  <si>
    <t>Kombisystem</t>
  </si>
  <si>
    <t>2408BL</t>
  </si>
  <si>
    <t>2408ST</t>
  </si>
  <si>
    <t>2501PE</t>
  </si>
  <si>
    <t>Small Portable Equipment Compactor (916</t>
  </si>
  <si>
    <t>MVC88 Compactor</t>
  </si>
  <si>
    <t>2502PE</t>
  </si>
  <si>
    <t>Small Portable Equipment Compactor (916)</t>
  </si>
  <si>
    <t>2510BC</t>
  </si>
  <si>
    <t>Wood Chipper</t>
  </si>
  <si>
    <t>Bandit-Chipper</t>
  </si>
  <si>
    <t>15XPC</t>
  </si>
  <si>
    <t>2600SW</t>
  </si>
  <si>
    <t>2601SW</t>
  </si>
  <si>
    <t>2602SW</t>
  </si>
  <si>
    <t>2603SW</t>
  </si>
  <si>
    <t>2604SW</t>
  </si>
  <si>
    <t>2605SW</t>
  </si>
  <si>
    <t>2606SW</t>
  </si>
  <si>
    <t>MS 261C</t>
  </si>
  <si>
    <t>2607SW</t>
  </si>
  <si>
    <t>2608BL</t>
  </si>
  <si>
    <t>2608SW</t>
  </si>
  <si>
    <t>2609BL</t>
  </si>
  <si>
    <t>2609SW</t>
  </si>
  <si>
    <t>2610BL</t>
  </si>
  <si>
    <t>2610SW</t>
  </si>
  <si>
    <t>2611BL</t>
  </si>
  <si>
    <t>2612SW</t>
  </si>
  <si>
    <t>2613SW</t>
  </si>
  <si>
    <t>2614SW</t>
  </si>
  <si>
    <t>MS500 I</t>
  </si>
  <si>
    <t>2615SW</t>
  </si>
  <si>
    <t>HT 131</t>
  </si>
  <si>
    <t>2805TC</t>
  </si>
  <si>
    <t xml:space="preserve">Traffic Counter </t>
  </si>
  <si>
    <t>2806TC</t>
  </si>
  <si>
    <t>2807TC</t>
  </si>
  <si>
    <t>2808TC</t>
  </si>
  <si>
    <t>2809TC</t>
  </si>
  <si>
    <t>2810TC</t>
  </si>
  <si>
    <t>2811TC</t>
  </si>
  <si>
    <t>2812TC</t>
  </si>
  <si>
    <t>2813TC</t>
  </si>
  <si>
    <t>2814TC</t>
  </si>
  <si>
    <t>2815TC</t>
  </si>
  <si>
    <t>2816TC</t>
  </si>
  <si>
    <t>2817TC</t>
  </si>
  <si>
    <t>2900LL</t>
  </si>
  <si>
    <t>Topcon Laser Level</t>
  </si>
  <si>
    <t>RL-200</t>
  </si>
  <si>
    <t>2901LL</t>
  </si>
  <si>
    <t>RD-M</t>
  </si>
  <si>
    <t>2902LL</t>
  </si>
  <si>
    <t>Topcon Paver System</t>
  </si>
  <si>
    <t>RD-MC</t>
  </si>
  <si>
    <t>3002TG</t>
  </si>
  <si>
    <t>3005M</t>
  </si>
  <si>
    <t>Mulcher</t>
  </si>
  <si>
    <t>Promac</t>
  </si>
  <si>
    <t>LDM 5055A</t>
  </si>
  <si>
    <t>3008BK</t>
  </si>
  <si>
    <t>3008TG</t>
  </si>
  <si>
    <t>3100BR</t>
  </si>
  <si>
    <t>3102BR</t>
  </si>
  <si>
    <t>3110BR</t>
  </si>
  <si>
    <t>3111BK</t>
  </si>
  <si>
    <t>2.70 Cu Yd Bucket</t>
  </si>
  <si>
    <t>3111BR</t>
  </si>
  <si>
    <t>3111FK</t>
  </si>
  <si>
    <t>3111SP</t>
  </si>
  <si>
    <t>Load Rite</t>
  </si>
  <si>
    <t>3149MW</t>
  </si>
  <si>
    <t>Mower</t>
  </si>
  <si>
    <t>RCK60P</t>
  </si>
  <si>
    <t>3149SB</t>
  </si>
  <si>
    <t>F5220B</t>
  </si>
  <si>
    <t>3152MW</t>
  </si>
  <si>
    <t>75" Flail Mower</t>
  </si>
  <si>
    <t>TSF-75</t>
  </si>
  <si>
    <t>3153MW</t>
  </si>
  <si>
    <t>RD50D</t>
  </si>
  <si>
    <t>3154MW</t>
  </si>
  <si>
    <t>3155MW</t>
  </si>
  <si>
    <t>3156MW</t>
  </si>
  <si>
    <t>BB-22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</si>
</sst>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164" formatCode="0.0000%"/>
    <numFmt numFmtId="165" formatCode="&quot;$&quot;#,##0.00"/>
    <numFmt numFmtId="166" formatCode="#,##0.0_);[Red]\(#,##0.0\)"/>
    <numFmt numFmtId="167" formatCode="0.0"/>
    <numFmt numFmtId="168" formatCode="0000"/>
    <numFmt numFmtId="169" formatCode="0.00_);[Red]\(0.00\)"/>
    <numFmt numFmtId="170" formatCode="00000000"/>
  </numFmts>
  <fonts count="32" x14ac:knownFonts="1">
    <font>
      <sz val="10"/>
      <name val="MS Sans Serif"/>
    </font>
    <font>
      <sz val="10"/>
      <name val="MS Sans Serif"/>
      <family val="2"/>
    </font>
    <font>
      <sz val="8"/>
      <name val="Tahoma"/>
      <family val="2"/>
    </font>
    <font>
      <sz val="10"/>
      <name val="Tahoma"/>
      <family val="2"/>
    </font>
    <font>
      <b/>
      <sz val="18"/>
      <name val="Tahoma"/>
      <family val="2"/>
    </font>
    <font>
      <b/>
      <sz val="13.5"/>
      <name val="Tahoma"/>
      <family val="2"/>
    </font>
    <font>
      <b/>
      <sz val="1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b/>
      <sz val="7"/>
      <name val="Tahoma"/>
      <family val="2"/>
    </font>
    <font>
      <sz val="10"/>
      <color indexed="15"/>
      <name val="Tahoma"/>
      <family val="2"/>
    </font>
    <font>
      <b/>
      <sz val="19"/>
      <name val="Tahoma"/>
      <family val="2"/>
    </font>
    <font>
      <sz val="19"/>
      <name val="MS Sans Serif"/>
    </font>
    <font>
      <b/>
      <sz val="15"/>
      <name val="Tahoma"/>
      <family val="2"/>
    </font>
    <font>
      <sz val="18"/>
      <name val="MS Sans Serif"/>
    </font>
    <font>
      <sz val="12"/>
      <name val="Tahoma"/>
      <family val="2"/>
    </font>
    <font>
      <sz val="9"/>
      <name val="Tahoma"/>
      <family val="2"/>
    </font>
    <font>
      <sz val="9"/>
      <name val="MS Sans Serif"/>
    </font>
    <font>
      <b/>
      <u/>
      <sz val="10"/>
      <name val="Tahoma"/>
      <family val="2"/>
    </font>
    <font>
      <b/>
      <sz val="11"/>
      <name val="Tahoma"/>
      <family val="2"/>
    </font>
    <font>
      <sz val="8"/>
      <name val="MS Sans Serif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MS Sans Serif"/>
    </font>
    <font>
      <sz val="11"/>
      <name val="Aptos Narrow"/>
      <family val="2"/>
    </font>
    <font>
      <b/>
      <sz val="18"/>
      <color indexed="8"/>
      <name val="Tahoma"/>
      <family val="2"/>
    </font>
    <font>
      <b/>
      <sz val="12"/>
      <color indexed="8"/>
      <name val="Tahoma"/>
      <family val="2"/>
    </font>
    <font>
      <b/>
      <sz val="12"/>
      <color rgb="FF000000"/>
      <name val="Tahoma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sz val="12"/>
      <color indexed="8"/>
      <name val="Times New Roman"/>
      <family val="1"/>
    </font>
    <font>
      <sz val="11"/>
      <color indexed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0" fontId="1" fillId="0" borderId="0" applyFont="0" applyFill="0" applyBorder="0" applyAlignment="0" applyProtection="0"/>
    <xf numFmtId="8" fontId="1" fillId="0" borderId="0" applyFont="0" applyFill="0" applyBorder="0" applyAlignment="0" applyProtection="0"/>
  </cellStyleXfs>
  <cellXfs count="206">
    <xf numFmtId="0" fontId="0" fillId="0" borderId="0" xfId="0"/>
    <xf numFmtId="0" fontId="3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right"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8" fillId="4" borderId="10" xfId="0" applyFont="1" applyFill="1" applyBorder="1" applyAlignment="1" applyProtection="1">
      <alignment horizontal="center" vertical="center"/>
      <protection locked="0"/>
    </xf>
    <xf numFmtId="0" fontId="8" fillId="4" borderId="11" xfId="0" applyFont="1" applyFill="1" applyBorder="1" applyAlignment="1" applyProtection="1">
      <alignment horizontal="center" vertical="center"/>
      <protection locked="0"/>
    </xf>
    <xf numFmtId="165" fontId="8" fillId="4" borderId="13" xfId="0" applyNumberFormat="1" applyFont="1" applyFill="1" applyBorder="1" applyAlignment="1" applyProtection="1">
      <alignment horizontal="left" vertical="center"/>
      <protection locked="0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vertical="center"/>
    </xf>
    <xf numFmtId="0" fontId="13" fillId="0" borderId="0" xfId="0" applyFont="1" applyAlignment="1">
      <alignment horizontal="right" vertical="center"/>
    </xf>
    <xf numFmtId="0" fontId="0" fillId="0" borderId="1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6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right" vertical="center"/>
    </xf>
    <xf numFmtId="2" fontId="6" fillId="0" borderId="3" xfId="0" applyNumberFormat="1" applyFont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Continuous" vertical="center"/>
    </xf>
    <xf numFmtId="0" fontId="3" fillId="0" borderId="9" xfId="0" applyFont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3" borderId="9" xfId="1" applyNumberFormat="1" applyFont="1" applyFill="1" applyBorder="1" applyAlignment="1" applyProtection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65" fontId="3" fillId="3" borderId="9" xfId="1" quotePrefix="1" applyNumberFormat="1" applyFont="1" applyFill="1" applyBorder="1" applyAlignment="1" applyProtection="1">
      <alignment horizontal="center" vertical="center"/>
    </xf>
    <xf numFmtId="165" fontId="3" fillId="3" borderId="9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3" fillId="0" borderId="9" xfId="1" applyNumberFormat="1" applyFont="1" applyFill="1" applyBorder="1" applyAlignment="1" applyProtection="1">
      <alignment horizontal="center" vertical="center"/>
    </xf>
    <xf numFmtId="0" fontId="3" fillId="0" borderId="9" xfId="0" applyFont="1" applyBorder="1" applyAlignment="1">
      <alignment horizontal="center" vertical="center"/>
    </xf>
    <xf numFmtId="165" fontId="3" fillId="0" borderId="9" xfId="1" quotePrefix="1" applyNumberFormat="1" applyFont="1" applyFill="1" applyBorder="1" applyAlignment="1" applyProtection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Continuous" vertical="center"/>
    </xf>
    <xf numFmtId="0" fontId="7" fillId="0" borderId="0" xfId="0" applyFont="1" applyAlignment="1">
      <alignment horizontal="centerContinuous" vertical="center"/>
    </xf>
    <xf numFmtId="38" fontId="3" fillId="0" borderId="9" xfId="0" applyNumberFormat="1" applyFont="1" applyBorder="1" applyAlignment="1">
      <alignment horizontal="center" vertical="center"/>
    </xf>
    <xf numFmtId="166" fontId="6" fillId="0" borderId="1" xfId="1" applyNumberFormat="1" applyFont="1" applyBorder="1" applyAlignment="1" applyProtection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164" fontId="3" fillId="4" borderId="9" xfId="0" applyNumberFormat="1" applyFont="1" applyFill="1" applyBorder="1" applyAlignment="1">
      <alignment horizontal="center" vertical="center"/>
    </xf>
    <xf numFmtId="165" fontId="3" fillId="4" borderId="9" xfId="0" applyNumberFormat="1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165" fontId="6" fillId="6" borderId="9" xfId="0" applyNumberFormat="1" applyFont="1" applyFill="1" applyBorder="1" applyAlignment="1">
      <alignment horizontal="center" vertical="center"/>
    </xf>
    <xf numFmtId="165" fontId="6" fillId="2" borderId="9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8" fontId="6" fillId="0" borderId="2" xfId="2" applyFont="1" applyBorder="1" applyAlignment="1" applyProtection="1">
      <alignment horizontal="center" vertical="center"/>
    </xf>
    <xf numFmtId="8" fontId="6" fillId="0" borderId="0" xfId="2" applyFont="1" applyBorder="1" applyAlignment="1" applyProtection="1">
      <alignment horizontal="center" vertical="center"/>
    </xf>
    <xf numFmtId="0" fontId="0" fillId="0" borderId="0" xfId="0" applyAlignment="1">
      <alignment horizontal="right" vertical="center"/>
    </xf>
    <xf numFmtId="8" fontId="6" fillId="0" borderId="1" xfId="0" applyNumberFormat="1" applyFont="1" applyBorder="1" applyAlignment="1">
      <alignment horizontal="center" vertical="center"/>
    </xf>
    <xf numFmtId="8" fontId="6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/>
    </xf>
    <xf numFmtId="0" fontId="3" fillId="4" borderId="5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18" fillId="4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0" fillId="0" borderId="0" xfId="0" applyProtection="1">
      <protection locked="0"/>
    </xf>
    <xf numFmtId="0" fontId="24" fillId="0" borderId="0" xfId="0" applyFont="1"/>
    <xf numFmtId="0" fontId="6" fillId="0" borderId="0" xfId="0" applyFont="1" applyAlignment="1">
      <alignment vertical="center"/>
    </xf>
    <xf numFmtId="165" fontId="3" fillId="3" borderId="9" xfId="1" quotePrefix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8" fontId="3" fillId="3" borderId="9" xfId="1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vertical="center"/>
    </xf>
    <xf numFmtId="14" fontId="9" fillId="3" borderId="0" xfId="0" applyNumberFormat="1" applyFont="1" applyFill="1" applyAlignment="1">
      <alignment horizontal="left" vertical="center"/>
    </xf>
    <xf numFmtId="0" fontId="8" fillId="4" borderId="9" xfId="0" applyFont="1" applyFill="1" applyBorder="1" applyAlignment="1">
      <alignment horizontal="center" vertical="center"/>
    </xf>
    <xf numFmtId="14" fontId="2" fillId="3" borderId="9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7" fontId="3" fillId="3" borderId="9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left" vertical="center"/>
    </xf>
    <xf numFmtId="38" fontId="6" fillId="2" borderId="9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165" fontId="7" fillId="4" borderId="6" xfId="0" applyNumberFormat="1" applyFont="1" applyFill="1" applyBorder="1" applyAlignment="1">
      <alignment horizontal="center" vertical="center"/>
    </xf>
    <xf numFmtId="0" fontId="26" fillId="6" borderId="3" xfId="0" applyFont="1" applyFill="1" applyBorder="1" applyAlignment="1">
      <alignment horizontal="center" vertical="center" wrapText="1" readingOrder="1"/>
    </xf>
    <xf numFmtId="168" fontId="26" fillId="2" borderId="7" xfId="0" applyNumberFormat="1" applyFont="1" applyFill="1" applyBorder="1" applyAlignment="1">
      <alignment horizontal="center" vertical="center" wrapText="1" readingOrder="1"/>
    </xf>
    <xf numFmtId="0" fontId="26" fillId="2" borderId="9" xfId="0" applyFont="1" applyFill="1" applyBorder="1" applyAlignment="1">
      <alignment horizontal="center" vertical="center" wrapText="1" readingOrder="1"/>
    </xf>
    <xf numFmtId="0" fontId="26" fillId="6" borderId="17" xfId="0" applyFont="1" applyFill="1" applyBorder="1" applyAlignment="1">
      <alignment horizontal="center" vertical="center" wrapText="1" readingOrder="1"/>
    </xf>
    <xf numFmtId="0" fontId="26" fillId="2" borderId="17" xfId="0" applyFont="1" applyFill="1" applyBorder="1" applyAlignment="1">
      <alignment horizontal="center" vertical="center" wrapText="1" readingOrder="1"/>
    </xf>
    <xf numFmtId="0" fontId="26" fillId="2" borderId="18" xfId="0" applyFont="1" applyFill="1" applyBorder="1" applyAlignment="1">
      <alignment horizontal="center" vertical="center" wrapText="1" readingOrder="1"/>
    </xf>
    <xf numFmtId="1" fontId="26" fillId="0" borderId="9" xfId="0" applyNumberFormat="1" applyFont="1" applyBorder="1" applyAlignment="1">
      <alignment horizontal="center" vertical="center" wrapText="1" readingOrder="1"/>
    </xf>
    <xf numFmtId="0" fontId="28" fillId="0" borderId="7" xfId="0" applyFont="1" applyBorder="1" applyAlignment="1">
      <alignment horizontal="center" vertical="center" wrapText="1" readingOrder="1"/>
    </xf>
    <xf numFmtId="1" fontId="28" fillId="0" borderId="9" xfId="0" applyNumberFormat="1" applyFont="1" applyBorder="1" applyAlignment="1">
      <alignment horizontal="center" vertical="center" wrapText="1" readingOrder="1"/>
    </xf>
    <xf numFmtId="0" fontId="28" fillId="0" borderId="9" xfId="0" applyFont="1" applyBorder="1" applyAlignment="1">
      <alignment horizontal="center" vertical="center" wrapText="1" readingOrder="1"/>
    </xf>
    <xf numFmtId="4" fontId="28" fillId="0" borderId="19" xfId="0" applyNumberFormat="1" applyFont="1" applyBorder="1" applyAlignment="1">
      <alignment horizontal="center" vertical="center" wrapText="1" readingOrder="1"/>
    </xf>
    <xf numFmtId="0" fontId="26" fillId="0" borderId="6" xfId="0" applyFont="1" applyBorder="1" applyAlignment="1">
      <alignment horizontal="center" vertical="center" wrapText="1" readingOrder="1"/>
    </xf>
    <xf numFmtId="169" fontId="29" fillId="0" borderId="9" xfId="0" applyNumberFormat="1" applyFont="1" applyBorder="1" applyAlignment="1">
      <alignment horizontal="center" vertical="center" wrapText="1" readingOrder="1"/>
    </xf>
    <xf numFmtId="0" fontId="30" fillId="0" borderId="9" xfId="0" applyFont="1" applyBorder="1" applyAlignment="1">
      <alignment horizontal="left" vertical="top" wrapText="1" readingOrder="1"/>
    </xf>
    <xf numFmtId="4" fontId="28" fillId="0" borderId="9" xfId="0" applyNumberFormat="1" applyFont="1" applyBorder="1" applyAlignment="1">
      <alignment horizontal="center" vertical="center" wrapText="1" readingOrder="1"/>
    </xf>
    <xf numFmtId="0" fontId="26" fillId="0" borderId="9" xfId="0" applyFont="1" applyBorder="1" applyAlignment="1">
      <alignment horizontal="center" vertical="center" wrapText="1" readingOrder="1"/>
    </xf>
    <xf numFmtId="2" fontId="28" fillId="0" borderId="6" xfId="0" applyNumberFormat="1" applyFont="1" applyBorder="1" applyAlignment="1">
      <alignment horizontal="center" vertical="center" wrapText="1" readingOrder="1"/>
    </xf>
    <xf numFmtId="2" fontId="28" fillId="6" borderId="6" xfId="0" applyNumberFormat="1" applyFont="1" applyFill="1" applyBorder="1" applyAlignment="1">
      <alignment horizontal="center" vertical="center" wrapText="1" readingOrder="1"/>
    </xf>
    <xf numFmtId="2" fontId="28" fillId="0" borderId="9" xfId="0" applyNumberFormat="1" applyFont="1" applyBorder="1" applyAlignment="1">
      <alignment horizontal="center" vertical="center" wrapText="1" readingOrder="1"/>
    </xf>
    <xf numFmtId="2" fontId="28" fillId="6" borderId="9" xfId="0" applyNumberFormat="1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top" wrapText="1"/>
    </xf>
    <xf numFmtId="170" fontId="28" fillId="0" borderId="9" xfId="0" applyNumberFormat="1" applyFont="1" applyBorder="1" applyAlignment="1">
      <alignment horizontal="center" vertical="center" wrapText="1" readingOrder="1"/>
    </xf>
    <xf numFmtId="1" fontId="26" fillId="3" borderId="9" xfId="0" applyNumberFormat="1" applyFont="1" applyFill="1" applyBorder="1" applyAlignment="1">
      <alignment horizontal="center" vertical="center" wrapText="1" readingOrder="1"/>
    </xf>
    <xf numFmtId="0" fontId="28" fillId="3" borderId="9" xfId="0" applyFont="1" applyFill="1" applyBorder="1" applyAlignment="1">
      <alignment horizontal="center" vertical="center" wrapText="1" readingOrder="1"/>
    </xf>
    <xf numFmtId="1" fontId="28" fillId="3" borderId="9" xfId="0" applyNumberFormat="1" applyFont="1" applyFill="1" applyBorder="1" applyAlignment="1">
      <alignment horizontal="center" vertical="center" wrapText="1" readingOrder="1"/>
    </xf>
    <xf numFmtId="4" fontId="28" fillId="3" borderId="9" xfId="0" applyNumberFormat="1" applyFont="1" applyFill="1" applyBorder="1" applyAlignment="1">
      <alignment horizontal="center" vertical="center" wrapText="1" readingOrder="1"/>
    </xf>
    <xf numFmtId="2" fontId="28" fillId="3" borderId="6" xfId="0" applyNumberFormat="1" applyFont="1" applyFill="1" applyBorder="1" applyAlignment="1">
      <alignment horizontal="center" vertical="center" wrapText="1" readingOrder="1"/>
    </xf>
    <xf numFmtId="169" fontId="29" fillId="3" borderId="9" xfId="0" applyNumberFormat="1" applyFont="1" applyFill="1" applyBorder="1" applyAlignment="1">
      <alignment horizontal="center" vertical="center" wrapText="1" readingOrder="1"/>
    </xf>
    <xf numFmtId="0" fontId="28" fillId="0" borderId="0" xfId="0" applyFont="1" applyAlignment="1">
      <alignment horizontal="center" vertical="center" wrapText="1"/>
    </xf>
    <xf numFmtId="0" fontId="31" fillId="0" borderId="9" xfId="0" applyFont="1" applyBorder="1" applyAlignment="1">
      <alignment horizontal="center" vertical="center" wrapText="1" readingOrder="1"/>
    </xf>
    <xf numFmtId="18" fontId="28" fillId="0" borderId="7" xfId="0" applyNumberFormat="1" applyFont="1" applyBorder="1" applyAlignment="1">
      <alignment horizontal="center" vertical="center" wrapText="1" readingOrder="1"/>
    </xf>
    <xf numFmtId="1" fontId="26" fillId="6" borderId="9" xfId="0" applyNumberFormat="1" applyFont="1" applyFill="1" applyBorder="1" applyAlignment="1">
      <alignment horizontal="center" vertical="center" wrapText="1" readingOrder="1"/>
    </xf>
    <xf numFmtId="0" fontId="28" fillId="6" borderId="7" xfId="0" applyFont="1" applyFill="1" applyBorder="1" applyAlignment="1">
      <alignment horizontal="center" vertical="center" wrapText="1" readingOrder="1"/>
    </xf>
    <xf numFmtId="1" fontId="28" fillId="6" borderId="9" xfId="0" applyNumberFormat="1" applyFont="1" applyFill="1" applyBorder="1" applyAlignment="1">
      <alignment horizontal="center" vertical="center" wrapText="1" readingOrder="1"/>
    </xf>
    <xf numFmtId="0" fontId="28" fillId="6" borderId="9" xfId="0" applyFont="1" applyFill="1" applyBorder="1" applyAlignment="1">
      <alignment horizontal="center" vertical="center" wrapText="1" readingOrder="1"/>
    </xf>
    <xf numFmtId="4" fontId="28" fillId="6" borderId="9" xfId="0" applyNumberFormat="1" applyFont="1" applyFill="1" applyBorder="1" applyAlignment="1">
      <alignment horizontal="center" vertical="center" wrapText="1" readingOrder="1"/>
    </xf>
    <xf numFmtId="169" fontId="29" fillId="6" borderId="9" xfId="0" applyNumberFormat="1" applyFont="1" applyFill="1" applyBorder="1" applyAlignment="1">
      <alignment horizontal="center" vertical="center" wrapText="1" readingOrder="1"/>
    </xf>
    <xf numFmtId="0" fontId="28" fillId="6" borderId="6" xfId="0" applyFont="1" applyFill="1" applyBorder="1" applyAlignment="1">
      <alignment horizontal="center" vertical="center" wrapText="1" readingOrder="1"/>
    </xf>
    <xf numFmtId="1" fontId="26" fillId="0" borderId="20" xfId="0" applyNumberFormat="1" applyFont="1" applyBorder="1" applyAlignment="1">
      <alignment horizontal="center" vertical="center" wrapText="1" readingOrder="1"/>
    </xf>
    <xf numFmtId="1" fontId="28" fillId="0" borderId="20" xfId="0" applyNumberFormat="1" applyFont="1" applyBorder="1" applyAlignment="1">
      <alignment horizontal="center" vertical="center" wrapText="1" readingOrder="1"/>
    </xf>
    <xf numFmtId="169" fontId="29" fillId="0" borderId="20" xfId="0" applyNumberFormat="1" applyFont="1" applyBorder="1" applyAlignment="1">
      <alignment horizontal="center" vertical="center" wrapText="1" readingOrder="1"/>
    </xf>
    <xf numFmtId="0" fontId="28" fillId="0" borderId="21" xfId="0" applyFont="1" applyBorder="1" applyAlignment="1">
      <alignment horizontal="center" vertical="center" wrapText="1" readingOrder="1"/>
    </xf>
    <xf numFmtId="0" fontId="28" fillId="0" borderId="20" xfId="0" applyFont="1" applyBorder="1" applyAlignment="1">
      <alignment horizontal="center" vertical="center" wrapText="1" readingOrder="1"/>
    </xf>
    <xf numFmtId="4" fontId="28" fillId="0" borderId="20" xfId="0" applyNumberFormat="1" applyFont="1" applyBorder="1" applyAlignment="1">
      <alignment horizontal="center" vertical="center" wrapText="1" readingOrder="1"/>
    </xf>
    <xf numFmtId="168" fontId="26" fillId="0" borderId="9" xfId="0" applyNumberFormat="1" applyFont="1" applyBorder="1" applyAlignment="1">
      <alignment horizontal="center" vertical="center" wrapText="1" readingOrder="1"/>
    </xf>
    <xf numFmtId="169" fontId="28" fillId="0" borderId="9" xfId="0" applyNumberFormat="1" applyFont="1" applyBorder="1" applyAlignment="1">
      <alignment horizontal="center" vertical="center" wrapText="1" readingOrder="1"/>
    </xf>
    <xf numFmtId="0" fontId="8" fillId="4" borderId="6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8" fillId="4" borderId="4" xfId="0" applyFont="1" applyFill="1" applyBorder="1" applyAlignment="1" applyProtection="1">
      <alignment horizontal="left" vertical="center"/>
      <protection locked="0"/>
    </xf>
    <xf numFmtId="0" fontId="2" fillId="4" borderId="9" xfId="0" applyFont="1" applyFill="1" applyBorder="1" applyAlignment="1" applyProtection="1">
      <alignment horizontal="left" vertical="center"/>
      <protection locked="0"/>
    </xf>
    <xf numFmtId="0" fontId="6" fillId="2" borderId="6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right" vertical="center"/>
    </xf>
    <xf numFmtId="0" fontId="6" fillId="2" borderId="3" xfId="0" applyFont="1" applyFill="1" applyBorder="1" applyAlignment="1">
      <alignment horizontal="right" vertical="center"/>
    </xf>
    <xf numFmtId="0" fontId="6" fillId="2" borderId="7" xfId="0" applyFont="1" applyFill="1" applyBorder="1" applyAlignment="1">
      <alignment horizontal="right" vertical="center"/>
    </xf>
    <xf numFmtId="0" fontId="6" fillId="2" borderId="9" xfId="0" applyFont="1" applyFill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7" fillId="0" borderId="3" xfId="0" applyFont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vertical="center"/>
    </xf>
    <xf numFmtId="0" fontId="6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2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6" fillId="0" borderId="1" xfId="0" applyFont="1" applyBorder="1" applyAlignment="1">
      <alignment vertical="center"/>
    </xf>
    <xf numFmtId="0" fontId="8" fillId="4" borderId="12" xfId="0" applyFont="1" applyFill="1" applyBorder="1" applyAlignment="1" applyProtection="1">
      <alignment horizontal="left" vertical="center"/>
      <protection locked="0"/>
    </xf>
    <xf numFmtId="0" fontId="2" fillId="4" borderId="8" xfId="0" applyFont="1" applyFill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right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8" fillId="4" borderId="14" xfId="0" applyFont="1" applyFill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vertical="center"/>
      <protection locked="0"/>
    </xf>
    <xf numFmtId="0" fontId="2" fillId="0" borderId="16" xfId="0" applyFont="1" applyBorder="1" applyAlignment="1" applyProtection="1">
      <alignment vertical="center"/>
      <protection locked="0"/>
    </xf>
    <xf numFmtId="0" fontId="2" fillId="4" borderId="4" xfId="0" applyFont="1" applyFill="1" applyBorder="1" applyAlignment="1" applyProtection="1">
      <alignment vertical="center"/>
      <protection locked="0"/>
    </xf>
    <xf numFmtId="0" fontId="2" fillId="4" borderId="9" xfId="0" applyFont="1" applyFill="1" applyBorder="1" applyAlignment="1" applyProtection="1">
      <alignment vertical="center"/>
      <protection locked="0"/>
    </xf>
    <xf numFmtId="0" fontId="2" fillId="4" borderId="11" xfId="0" applyFont="1" applyFill="1" applyBorder="1" applyAlignment="1" applyProtection="1">
      <alignment vertical="center"/>
      <protection locked="0"/>
    </xf>
    <xf numFmtId="0" fontId="3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6" fillId="5" borderId="9" xfId="0" applyFont="1" applyFill="1" applyBorder="1" applyAlignment="1">
      <alignment vertical="center"/>
    </xf>
    <xf numFmtId="0" fontId="0" fillId="0" borderId="9" xfId="0" applyBorder="1" applyAlignment="1">
      <alignment vertical="center"/>
    </xf>
    <xf numFmtId="0" fontId="3" fillId="4" borderId="6" xfId="0" applyFont="1" applyFill="1" applyBorder="1" applyAlignment="1">
      <alignment horizontal="right" vertical="center"/>
    </xf>
    <xf numFmtId="0" fontId="0" fillId="0" borderId="7" xfId="0" applyBorder="1" applyAlignment="1">
      <alignment vertical="center"/>
    </xf>
    <xf numFmtId="0" fontId="6" fillId="2" borderId="9" xfId="0" applyFont="1" applyFill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3" fillId="0" borderId="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5" fillId="5" borderId="6" xfId="0" applyFont="1" applyFill="1" applyBorder="1" applyAlignment="1">
      <alignment horizontal="center" vertical="center" wrapText="1" readingOrder="1"/>
    </xf>
    <xf numFmtId="0" fontId="0" fillId="0" borderId="3" xfId="0" applyBorder="1" applyAlignment="1">
      <alignment horizontal="center" vertical="center" wrapText="1" readingOrder="1"/>
    </xf>
    <xf numFmtId="0" fontId="0" fillId="0" borderId="7" xfId="0" applyBorder="1" applyAlignment="1">
      <alignment horizontal="center" vertical="center" wrapText="1" readingOrder="1"/>
    </xf>
    <xf numFmtId="0" fontId="26" fillId="2" borderId="6" xfId="0" applyFont="1" applyFill="1" applyBorder="1" applyAlignment="1">
      <alignment horizontal="center" vertical="center" wrapText="1" readingOrder="1"/>
    </xf>
    <xf numFmtId="0" fontId="27" fillId="2" borderId="6" xfId="0" applyFont="1" applyFill="1" applyBorder="1" applyAlignment="1">
      <alignment horizontal="center" vertical="center" wrapText="1" readingOrder="1"/>
    </xf>
  </cellXfs>
  <cellStyles count="3">
    <cellStyle name="Comma" xfId="1" builtinId="3"/>
    <cellStyle name="Currency" xfId="2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ahoma"/>
        <scheme val="none"/>
      </font>
      <numFmt numFmtId="169" formatCode="0.00_);[Red]\(0.00\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ahoma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name val="Tahoma"/>
        <scheme val="none"/>
      </font>
      <fill>
        <patternFill patternType="none">
          <fgColor indexed="64"/>
          <bgColor theme="1"/>
        </patternFill>
      </fill>
      <alignment horizontal="center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sz val="12"/>
        <name val="Tahom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ahoma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ahom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ahom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ahoma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ahom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ahoma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ahoma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1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ahoma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FF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0</xdr:row>
          <xdr:rowOff>0</xdr:rowOff>
        </xdr:from>
        <xdr:to>
          <xdr:col>1</xdr:col>
          <xdr:colOff>771525</xdr:colOff>
          <xdr:row>3</xdr:row>
          <xdr:rowOff>171450</xdr:rowOff>
        </xdr:to>
        <xdr:sp macro="" textlink="">
          <xdr:nvSpPr>
            <xdr:cNvPr id="72705" name="Object 1" hidden="1">
              <a:extLst>
                <a:ext uri="{63B3BB69-23CF-44E3-9099-C40C66FF867C}">
                  <a14:compatExt spid="_x0000_s72705"/>
                </a:ext>
                <a:ext uri="{FF2B5EF4-FFF2-40B4-BE49-F238E27FC236}">
                  <a16:creationId xmlns:a16="http://schemas.microsoft.com/office/drawing/2014/main" id="{00000000-0008-0000-0100-000001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000000" mc:Ignorable="a14" a14:legacySpreadsheetColorIndex="8"/>
                  </a:solidFill>
                </a14:hiddenFill>
              </a:ext>
            </a:extLst>
          </xdr:spPr>
        </xdr:sp>
        <xdr:clientData/>
      </xdr:twoCellAnchor>
    </mc:Choice>
    <mc:Fallback/>
  </mc:AlternateContent>
  <xdr:oneCellAnchor>
    <xdr:from>
      <xdr:col>8</xdr:col>
      <xdr:colOff>257175</xdr:colOff>
      <xdr:row>46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8724900" y="902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6</xdr:col>
      <xdr:colOff>85722</xdr:colOff>
      <xdr:row>37</xdr:row>
      <xdr:rowOff>104775</xdr:rowOff>
    </xdr:from>
    <xdr:to>
      <xdr:col>7</xdr:col>
      <xdr:colOff>819150</xdr:colOff>
      <xdr:row>45</xdr:row>
      <xdr:rowOff>171450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6877047" y="7610475"/>
          <a:ext cx="1743078" cy="1590675"/>
        </a:xfrm>
        <a:prstGeom prst="flowChartConnector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0</xdr:row>
          <xdr:rowOff>38100</xdr:rowOff>
        </xdr:from>
        <xdr:to>
          <xdr:col>6</xdr:col>
          <xdr:colOff>952500</xdr:colOff>
          <xdr:row>3</xdr:row>
          <xdr:rowOff>209550</xdr:rowOff>
        </xdr:to>
        <xdr:sp macro="" textlink="">
          <xdr:nvSpPr>
            <xdr:cNvPr id="72706" name="Object 2" hidden="1">
              <a:extLst>
                <a:ext uri="{63B3BB69-23CF-44E3-9099-C40C66FF867C}">
                  <a14:compatExt spid="_x0000_s72706"/>
                </a:ext>
                <a:ext uri="{FF2B5EF4-FFF2-40B4-BE49-F238E27FC236}">
                  <a16:creationId xmlns:a16="http://schemas.microsoft.com/office/drawing/2014/main" id="{00000000-0008-0000-0100-000002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000000" mc:Ignorable="a14" a14:legacySpreadsheetColorIndex="8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10</xdr:col>
      <xdr:colOff>66675</xdr:colOff>
      <xdr:row>25</xdr:row>
      <xdr:rowOff>9525</xdr:rowOff>
    </xdr:from>
    <xdr:to>
      <xdr:col>10</xdr:col>
      <xdr:colOff>249555</xdr:colOff>
      <xdr:row>25</xdr:row>
      <xdr:rowOff>163830</xdr:rowOff>
    </xdr:to>
    <xdr:sp macro="" textlink="">
      <xdr:nvSpPr>
        <xdr:cNvPr id="14" name="Rectangle 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rrowheads="1"/>
        </xdr:cNvSpPr>
      </xdr:nvSpPr>
      <xdr:spPr bwMode="auto">
        <a:xfrm>
          <a:off x="10620375" y="4791075"/>
          <a:ext cx="182880" cy="154305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790575</xdr:colOff>
      <xdr:row>25</xdr:row>
      <xdr:rowOff>9525</xdr:rowOff>
    </xdr:from>
    <xdr:to>
      <xdr:col>11</xdr:col>
      <xdr:colOff>49530</xdr:colOff>
      <xdr:row>25</xdr:row>
      <xdr:rowOff>163830</xdr:rowOff>
    </xdr:to>
    <xdr:sp macro="" textlink="">
      <xdr:nvSpPr>
        <xdr:cNvPr id="15" name="Rectangle 3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rrowheads="1"/>
        </xdr:cNvSpPr>
      </xdr:nvSpPr>
      <xdr:spPr bwMode="auto">
        <a:xfrm>
          <a:off x="11344275" y="4791075"/>
          <a:ext cx="182880" cy="154305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C59E42-E80C-4871-97CD-22D852B57D39}" name="Table336789101112131415" displayName="Table336789101112131415" ref="A3:J1457" totalsRowShown="0" headerRowDxfId="14" dataDxfId="12" headerRowBorderDxfId="13" tableBorderDxfId="11" totalsRowBorderDxfId="10">
  <autoFilter ref="A3:J1457" xr:uid="{B9C59E42-E80C-4871-97CD-22D852B57D39}"/>
  <sortState xmlns:xlrd2="http://schemas.microsoft.com/office/spreadsheetml/2017/richdata2" ref="A4:J1454">
    <sortCondition ref="A3"/>
  </sortState>
  <tableColumns count="10">
    <tableColumn id="1" xr3:uid="{8509150D-98A9-4F9E-B88E-AFB619583886}" name="Equip Number" dataDxfId="9"/>
    <tableColumn id="2" xr3:uid="{5AF2CB22-2F25-4245-B2CD-FF96A2D1E82C}" name="Description" dataDxfId="8"/>
    <tableColumn id="3" xr3:uid="{C6DB5E42-5941-4870-BD0C-A8B3881CF340}" name="Model Year" dataDxfId="7"/>
    <tableColumn id="4" xr3:uid="{3D9D9422-9F6C-44AE-B3A9-F24188A61B2F}" name="Make" dataDxfId="6"/>
    <tableColumn id="5" xr3:uid="{0F92F1F5-0689-464B-9123-31F6A90F8E6B}" name="Model / Series" dataDxfId="5"/>
    <tableColumn id="8" xr3:uid="{D5614B27-F2AE-4212-B873-11CA9A923545}" name="Sched C/ County/ State" dataDxfId="4"/>
    <tableColumn id="7" xr3:uid="{ABC12047-BC7B-4596-A4BF-7D260EAE9383}" name="W/Radio" dataDxfId="3"/>
    <tableColumn id="12" xr3:uid="{C262A75A-C876-4BDB-961C-E6BCABA065DA}" name="Column1" dataDxfId="2"/>
    <tableColumn id="14" xr3:uid="{DA463FAE-EDF7-4466-9DD8-B1FAB43C132C}" name="2025 Rate" dataDxfId="1"/>
    <tableColumn id="6" xr3:uid="{C3FC30B5-ABA7-421D-989F-5F9CFCFDC83C}" name="2025/26 Variance" dataDxfId="0">
      <calculatedColumnFormula>Table336789101112131415[[#This Row],[Sched C/ County/ State]]-Table336789101112131415[[#This Row],[2025 Rate]]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omments" Target="../comments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Microsoft_Word_97_-_2003_Document1.doc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ABA34-A5E2-4AD0-8BCA-4C3C4C0E5238}">
  <sheetPr>
    <pageSetUpPr fitToPage="1"/>
  </sheetPr>
  <dimension ref="A1:E34"/>
  <sheetViews>
    <sheetView zoomScaleNormal="100" workbookViewId="0">
      <selection activeCell="D40" sqref="D40"/>
    </sheetView>
  </sheetViews>
  <sheetFormatPr defaultRowHeight="15" x14ac:dyDescent="0.25"/>
  <cols>
    <col min="1" max="5" width="31.28515625" style="69" customWidth="1"/>
    <col min="6" max="16384" width="9.140625" style="68"/>
  </cols>
  <sheetData>
    <row r="1" spans="1:1" x14ac:dyDescent="0.25">
      <c r="A1" s="69" t="s">
        <v>74</v>
      </c>
    </row>
    <row r="2" spans="1:1" ht="24" customHeight="1" x14ac:dyDescent="0.25">
      <c r="A2" s="69" t="s">
        <v>68</v>
      </c>
    </row>
    <row r="3" spans="1:1" ht="24.95" customHeight="1" x14ac:dyDescent="0.25">
      <c r="A3" s="69" t="s">
        <v>8</v>
      </c>
    </row>
    <row r="4" spans="1:1" ht="24.95" customHeight="1" x14ac:dyDescent="0.25">
      <c r="A4" s="69" t="s">
        <v>69</v>
      </c>
    </row>
    <row r="5" spans="1:1" ht="30" customHeight="1" x14ac:dyDescent="0.25">
      <c r="A5" s="69" t="s">
        <v>70</v>
      </c>
    </row>
    <row r="6" spans="1:1" ht="20.25" customHeight="1" x14ac:dyDescent="0.25">
      <c r="A6" s="69" t="s">
        <v>75</v>
      </c>
    </row>
    <row r="7" spans="1:1" ht="24.95" customHeight="1" x14ac:dyDescent="0.25">
      <c r="A7" s="69" t="s">
        <v>71</v>
      </c>
    </row>
    <row r="8" spans="1:1" ht="24.95" customHeight="1" x14ac:dyDescent="0.25">
      <c r="A8" s="69" t="s">
        <v>76</v>
      </c>
    </row>
    <row r="9" spans="1:1" ht="50.1" customHeight="1" x14ac:dyDescent="0.25">
      <c r="A9" s="69" t="s">
        <v>72</v>
      </c>
    </row>
    <row r="10" spans="1:1" x14ac:dyDescent="0.25">
      <c r="A10" s="69" t="s">
        <v>77</v>
      </c>
    </row>
    <row r="11" spans="1:1" ht="24.75" customHeight="1" x14ac:dyDescent="0.25">
      <c r="A11" s="69" t="s">
        <v>78</v>
      </c>
    </row>
    <row r="12" spans="1:1" ht="35.25" customHeight="1" x14ac:dyDescent="0.25">
      <c r="A12" s="69" t="s">
        <v>79</v>
      </c>
    </row>
    <row r="13" spans="1:1" ht="18" customHeight="1" x14ac:dyDescent="0.25">
      <c r="A13" s="69" t="s">
        <v>80</v>
      </c>
    </row>
    <row r="14" spans="1:1" ht="18" customHeight="1" x14ac:dyDescent="0.25">
      <c r="A14" s="69" t="s">
        <v>81</v>
      </c>
    </row>
    <row r="15" spans="1:1" ht="18" customHeight="1" x14ac:dyDescent="0.25">
      <c r="A15" s="69" t="s">
        <v>82</v>
      </c>
    </row>
    <row r="16" spans="1:1" ht="18" customHeight="1" x14ac:dyDescent="0.25">
      <c r="A16" s="69" t="s">
        <v>83</v>
      </c>
    </row>
    <row r="17" spans="1:1" ht="18" customHeight="1" x14ac:dyDescent="0.25">
      <c r="A17" s="69" t="s">
        <v>84</v>
      </c>
    </row>
    <row r="18" spans="1:1" ht="18" customHeight="1" x14ac:dyDescent="0.25">
      <c r="A18" s="69" t="s">
        <v>85</v>
      </c>
    </row>
    <row r="19" spans="1:1" ht="24.95" customHeight="1" x14ac:dyDescent="0.25">
      <c r="A19" s="69" t="s">
        <v>86</v>
      </c>
    </row>
    <row r="20" spans="1:1" ht="24.95" customHeight="1" x14ac:dyDescent="0.25">
      <c r="A20" s="69" t="s">
        <v>87</v>
      </c>
    </row>
    <row r="21" spans="1:1" ht="50.1" customHeight="1" x14ac:dyDescent="0.25">
      <c r="A21" s="69" t="s">
        <v>88</v>
      </c>
    </row>
    <row r="22" spans="1:1" ht="24.95" customHeight="1" x14ac:dyDescent="0.25">
      <c r="A22" s="69" t="s">
        <v>89</v>
      </c>
    </row>
    <row r="23" spans="1:1" ht="18" customHeight="1" x14ac:dyDescent="0.25">
      <c r="A23" s="69" t="s">
        <v>90</v>
      </c>
    </row>
    <row r="24" spans="1:1" ht="18" customHeight="1" x14ac:dyDescent="0.25">
      <c r="A24" s="69" t="s">
        <v>73</v>
      </c>
    </row>
    <row r="25" spans="1:1" ht="18" customHeight="1" x14ac:dyDescent="0.25"/>
    <row r="26" spans="1:1" ht="18" customHeight="1" x14ac:dyDescent="0.25"/>
    <row r="27" spans="1:1" ht="18" customHeight="1" x14ac:dyDescent="0.25"/>
    <row r="28" spans="1:1" ht="18" customHeight="1" x14ac:dyDescent="0.25"/>
    <row r="29" spans="1:1" ht="18" customHeight="1" x14ac:dyDescent="0.25"/>
    <row r="30" spans="1:1" ht="18" customHeight="1" x14ac:dyDescent="0.25"/>
    <row r="31" spans="1:1" ht="18" customHeight="1" x14ac:dyDescent="0.25"/>
    <row r="32" spans="1:1" ht="18" customHeight="1" x14ac:dyDescent="0.25"/>
    <row r="33" ht="18" customHeight="1" x14ac:dyDescent="0.25"/>
    <row r="34" ht="18" customHeight="1" x14ac:dyDescent="0.25"/>
  </sheetData>
  <phoneticPr fontId="20" type="noConversion"/>
  <pageMargins left="0.7" right="0.7" top="0.75" bottom="0.75" header="0.3" footer="0.3"/>
  <pageSetup scale="4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"/>
  <sheetViews>
    <sheetView tabSelected="1" topLeftCell="A13" zoomScaleNormal="100" workbookViewId="0">
      <selection activeCell="F42" sqref="F42"/>
    </sheetView>
  </sheetViews>
  <sheetFormatPr defaultColWidth="9.140625" defaultRowHeight="12.75" x14ac:dyDescent="0.2"/>
  <cols>
    <col min="1" max="1" width="2.7109375" style="1" customWidth="1"/>
    <col min="2" max="2" width="45.7109375" style="1" customWidth="1"/>
    <col min="3" max="3" width="8.7109375" style="1" customWidth="1"/>
    <col min="4" max="4" width="10.7109375" style="1" customWidth="1"/>
    <col min="5" max="5" width="13.28515625" style="1" customWidth="1"/>
    <col min="6" max="6" width="20.7109375" style="1" customWidth="1"/>
    <col min="7" max="7" width="15.140625" style="1" customWidth="1"/>
    <col min="8" max="8" width="12.7109375" style="1" customWidth="1"/>
    <col min="9" max="9" width="20.7109375" style="1" customWidth="1"/>
    <col min="10" max="10" width="8.42578125" style="1" customWidth="1"/>
    <col min="11" max="11" width="13.7109375" style="1" customWidth="1"/>
    <col min="12" max="12" width="1.7109375" style="1" customWidth="1"/>
    <col min="13" max="13" width="15.7109375" style="1" customWidth="1"/>
    <col min="14" max="14" width="16" style="1" customWidth="1"/>
    <col min="15" max="16384" width="9.140625" style="1"/>
  </cols>
  <sheetData>
    <row r="1" spans="1:14" ht="20.100000000000001" customHeight="1" x14ac:dyDescent="0.2">
      <c r="A1" s="9"/>
      <c r="B1" s="162" t="s">
        <v>15</v>
      </c>
      <c r="C1" s="163"/>
      <c r="D1" s="163"/>
      <c r="E1" s="163"/>
      <c r="F1" s="163"/>
      <c r="G1" s="10"/>
      <c r="H1" s="162" t="s">
        <v>15</v>
      </c>
      <c r="I1" s="164"/>
      <c r="J1" s="164"/>
      <c r="K1" s="164"/>
      <c r="L1" s="164"/>
      <c r="M1" s="164"/>
      <c r="N1" s="164"/>
    </row>
    <row r="2" spans="1:14" ht="20.100000000000001" customHeight="1" x14ac:dyDescent="0.2">
      <c r="A2" s="9"/>
      <c r="B2" s="165" t="s">
        <v>16</v>
      </c>
      <c r="C2" s="166"/>
      <c r="D2" s="166"/>
      <c r="E2" s="166"/>
      <c r="F2" s="166"/>
      <c r="G2" s="12"/>
      <c r="H2" s="165" t="s">
        <v>16</v>
      </c>
      <c r="I2" s="163"/>
      <c r="J2" s="163"/>
      <c r="K2" s="163"/>
      <c r="L2" s="163"/>
      <c r="M2" s="163"/>
      <c r="N2" s="163"/>
    </row>
    <row r="3" spans="1:14" ht="20.100000000000001" customHeight="1" x14ac:dyDescent="0.2">
      <c r="A3" s="9"/>
      <c r="B3" s="167" t="str">
        <f>"COST FOR "&amp; UPPER(Sheet1!B1)</f>
        <v xml:space="preserve">COST FOR </v>
      </c>
      <c r="C3" s="166"/>
      <c r="D3" s="166"/>
      <c r="E3" s="166"/>
      <c r="F3" s="166"/>
      <c r="G3" s="9"/>
      <c r="H3" s="168" t="s">
        <v>17</v>
      </c>
      <c r="I3" s="169"/>
      <c r="J3" s="169"/>
      <c r="K3" s="169"/>
      <c r="L3" s="169"/>
      <c r="M3" s="169"/>
      <c r="N3" s="169"/>
    </row>
    <row r="4" spans="1:14" ht="20.100000000000001" customHeight="1" x14ac:dyDescent="0.2">
      <c r="A4" s="9"/>
      <c r="B4" s="13" t="s">
        <v>0</v>
      </c>
      <c r="C4" s="170" t="e">
        <f>LEFT(Sheet1!B5, LEN(Sheet1!B5)-9)</f>
        <v>#VALUE!</v>
      </c>
      <c r="D4" s="171"/>
      <c r="E4" s="171"/>
      <c r="F4" s="171"/>
      <c r="G4" s="172" t="str">
        <f>"COST FOR "&amp; UPPER(Sheet1!B1)</f>
        <v xml:space="preserve">COST FOR </v>
      </c>
      <c r="H4" s="173"/>
      <c r="I4" s="173"/>
      <c r="J4" s="173"/>
      <c r="K4" s="173"/>
      <c r="L4" s="173"/>
      <c r="M4" s="174"/>
      <c r="N4" s="166"/>
    </row>
    <row r="5" spans="1:14" ht="20.100000000000001" customHeight="1" x14ac:dyDescent="0.2">
      <c r="A5" s="9"/>
      <c r="B5" s="15" t="s">
        <v>22</v>
      </c>
      <c r="C5" s="150">
        <f>Sheet1!B7</f>
        <v>0</v>
      </c>
      <c r="D5" s="153"/>
      <c r="E5" s="153"/>
      <c r="F5" s="153"/>
      <c r="G5" s="9"/>
      <c r="H5" s="9"/>
      <c r="I5" s="9"/>
      <c r="J5" s="9"/>
      <c r="K5" s="9"/>
      <c r="L5" s="9"/>
      <c r="M5" s="9"/>
      <c r="N5" s="9"/>
    </row>
    <row r="6" spans="1:14" ht="20.100000000000001" customHeight="1" x14ac:dyDescent="0.2">
      <c r="A6" s="9"/>
      <c r="B6" s="15" t="s">
        <v>23</v>
      </c>
      <c r="C6" s="150" t="str">
        <f>Sheet1!B10&amp;"' X "&amp;Sheet1!B11&amp;"' X "&amp;Sheet1!B12&amp;""""</f>
        <v>' X ' X "</v>
      </c>
      <c r="D6" s="153"/>
      <c r="E6" s="153"/>
      <c r="F6" s="153"/>
      <c r="G6" s="15" t="s">
        <v>2</v>
      </c>
      <c r="H6" s="175">
        <f>Sheet1!B3</f>
        <v>0</v>
      </c>
      <c r="I6" s="171"/>
      <c r="J6" s="176" t="s">
        <v>0</v>
      </c>
      <c r="K6" s="166"/>
      <c r="L6" s="166"/>
      <c r="M6" s="170" t="e">
        <f>C4</f>
        <v>#VALUE!</v>
      </c>
      <c r="N6" s="177"/>
    </row>
    <row r="7" spans="1:14" ht="20.100000000000001" customHeight="1" x14ac:dyDescent="0.2">
      <c r="A7" s="9"/>
      <c r="B7" s="15" t="s">
        <v>1</v>
      </c>
      <c r="C7" s="150">
        <f>Sheet1!B1</f>
        <v>0</v>
      </c>
      <c r="D7" s="153"/>
      <c r="E7" s="153"/>
      <c r="F7" s="153"/>
      <c r="G7" s="15"/>
      <c r="H7" s="17"/>
      <c r="I7" s="17"/>
      <c r="J7" s="17"/>
      <c r="K7" s="17"/>
      <c r="L7" s="18"/>
      <c r="M7" s="18"/>
      <c r="N7" s="9"/>
    </row>
    <row r="8" spans="1:14" ht="20.100000000000001" customHeight="1" x14ac:dyDescent="0.2">
      <c r="A8" s="9"/>
      <c r="B8" s="15" t="s">
        <v>32</v>
      </c>
      <c r="C8" s="154">
        <f>Sheet1!B9</f>
        <v>0</v>
      </c>
      <c r="D8" s="155"/>
      <c r="E8" s="155"/>
      <c r="F8" s="155"/>
      <c r="G8" s="20" t="s">
        <v>22</v>
      </c>
      <c r="H8" s="21">
        <f>C5</f>
        <v>0</v>
      </c>
      <c r="I8" s="16"/>
      <c r="J8" s="16"/>
      <c r="K8" s="16"/>
      <c r="L8" s="22"/>
      <c r="M8" s="22"/>
      <c r="N8" s="22"/>
    </row>
    <row r="9" spans="1:14" ht="15" customHeight="1" x14ac:dyDescent="0.2">
      <c r="A9" s="191" t="s">
        <v>33</v>
      </c>
      <c r="B9" s="166"/>
      <c r="C9" s="19"/>
      <c r="D9" s="14"/>
      <c r="E9" s="14"/>
      <c r="F9" s="14"/>
      <c r="G9" s="20" t="s">
        <v>34</v>
      </c>
      <c r="H9" s="23" t="str">
        <f>C6</f>
        <v>' X ' X "</v>
      </c>
      <c r="I9" s="24"/>
      <c r="J9" s="25"/>
      <c r="K9" s="25"/>
      <c r="L9" s="25"/>
      <c r="M9" s="26" t="s">
        <v>57</v>
      </c>
      <c r="N9" s="27">
        <f>Sheet1!B10/5280</f>
        <v>0</v>
      </c>
    </row>
    <row r="10" spans="1:14" ht="15" customHeight="1" x14ac:dyDescent="0.2">
      <c r="A10" s="192" t="s">
        <v>51</v>
      </c>
      <c r="B10" s="193"/>
      <c r="C10" s="28" t="s">
        <v>36</v>
      </c>
      <c r="D10" s="29" t="s">
        <v>37</v>
      </c>
      <c r="E10" s="29" t="s">
        <v>38</v>
      </c>
      <c r="F10" s="28" t="s">
        <v>3</v>
      </c>
      <c r="G10" s="20" t="s">
        <v>1</v>
      </c>
      <c r="H10" s="23">
        <f>C7</f>
        <v>0</v>
      </c>
      <c r="I10" s="24"/>
      <c r="J10" s="25"/>
      <c r="K10" s="25"/>
      <c r="L10" s="25"/>
      <c r="M10" s="24"/>
      <c r="N10" s="24"/>
    </row>
    <row r="11" spans="1:14" ht="15" customHeight="1" x14ac:dyDescent="0.2">
      <c r="A11" s="30">
        <f>Sheet1!B14</f>
        <v>0</v>
      </c>
      <c r="B11" s="31" t="s">
        <v>52</v>
      </c>
      <c r="C11" s="32">
        <f>Sheet1!B16</f>
        <v>0</v>
      </c>
      <c r="D11" s="33" t="s">
        <v>39</v>
      </c>
      <c r="E11" s="34">
        <v>32.47</v>
      </c>
      <c r="F11" s="35">
        <f>A11*C11*E11</f>
        <v>0</v>
      </c>
      <c r="G11" s="156" t="s">
        <v>21</v>
      </c>
      <c r="H11" s="25" t="s">
        <v>67</v>
      </c>
      <c r="I11" s="24"/>
      <c r="J11" s="25"/>
      <c r="K11" s="25" t="s">
        <v>24</v>
      </c>
      <c r="L11" s="25"/>
      <c r="M11" s="25"/>
      <c r="N11" s="25"/>
    </row>
    <row r="12" spans="1:14" ht="15" customHeight="1" x14ac:dyDescent="0.2">
      <c r="A12" s="30">
        <f>Sheet1!B15</f>
        <v>0</v>
      </c>
      <c r="B12" s="31" t="s">
        <v>53</v>
      </c>
      <c r="C12" s="32">
        <f>Sheet1!B17</f>
        <v>0</v>
      </c>
      <c r="D12" s="33" t="s">
        <v>39</v>
      </c>
      <c r="E12" s="34">
        <v>41.31</v>
      </c>
      <c r="F12" s="35">
        <f>A12*C12*E12</f>
        <v>0</v>
      </c>
      <c r="G12" s="157"/>
      <c r="H12" s="25">
        <f>C8</f>
        <v>0</v>
      </c>
      <c r="I12" s="24"/>
      <c r="J12" s="25"/>
      <c r="K12" s="25"/>
      <c r="L12" s="25"/>
      <c r="M12" s="25"/>
      <c r="N12" s="25"/>
    </row>
    <row r="13" spans="1:14" ht="15" customHeight="1" thickBot="1" x14ac:dyDescent="0.25">
      <c r="A13" s="192" t="s">
        <v>35</v>
      </c>
      <c r="B13" s="193"/>
      <c r="C13" s="28" t="s">
        <v>36</v>
      </c>
      <c r="D13" s="29" t="s">
        <v>37</v>
      </c>
      <c r="E13" s="29" t="s">
        <v>38</v>
      </c>
      <c r="F13" s="28" t="s">
        <v>3</v>
      </c>
      <c r="G13" s="36"/>
      <c r="H13" s="36"/>
      <c r="I13" s="37"/>
      <c r="J13" s="37"/>
      <c r="K13" s="37"/>
      <c r="L13" s="37"/>
      <c r="M13" s="37"/>
      <c r="N13" s="37"/>
    </row>
    <row r="14" spans="1:14" ht="15" customHeight="1" thickTop="1" x14ac:dyDescent="0.2">
      <c r="A14" s="30">
        <f>Sheet1!B18</f>
        <v>0</v>
      </c>
      <c r="B14" s="30" t="s">
        <v>52</v>
      </c>
      <c r="C14" s="38">
        <f>Sheet1!B20</f>
        <v>0</v>
      </c>
      <c r="D14" s="39" t="s">
        <v>39</v>
      </c>
      <c r="E14" s="40">
        <v>48.71</v>
      </c>
      <c r="F14" s="41">
        <f>A14*C14*E14</f>
        <v>0</v>
      </c>
      <c r="G14" s="9"/>
      <c r="H14" s="42" t="s">
        <v>12</v>
      </c>
      <c r="I14" s="43" t="s">
        <v>66</v>
      </c>
      <c r="J14" s="42"/>
      <c r="K14" s="42"/>
      <c r="L14" s="42"/>
      <c r="M14" s="42"/>
      <c r="N14" s="9"/>
    </row>
    <row r="15" spans="1:14" ht="15" customHeight="1" x14ac:dyDescent="0.2">
      <c r="A15" s="30">
        <f>Sheet1!B19</f>
        <v>0</v>
      </c>
      <c r="B15" s="30" t="s">
        <v>53</v>
      </c>
      <c r="C15" s="38">
        <f>Sheet1!B21</f>
        <v>0</v>
      </c>
      <c r="D15" s="39" t="s">
        <v>39</v>
      </c>
      <c r="E15" s="40">
        <v>61.97</v>
      </c>
      <c r="F15" s="41">
        <f>A15*C15*E15</f>
        <v>0</v>
      </c>
      <c r="G15" s="9"/>
      <c r="H15" s="9"/>
      <c r="I15" s="42" t="s">
        <v>4</v>
      </c>
      <c r="J15" s="42"/>
      <c r="K15" s="42"/>
      <c r="L15" s="42"/>
      <c r="M15" s="42"/>
      <c r="N15" s="9"/>
    </row>
    <row r="16" spans="1:14" ht="15" customHeight="1" x14ac:dyDescent="0.2">
      <c r="A16" s="30"/>
      <c r="B16" s="30"/>
      <c r="C16" s="160" t="s">
        <v>58</v>
      </c>
      <c r="D16" s="161"/>
      <c r="E16" s="44">
        <f>Sheet1!B13</f>
        <v>0</v>
      </c>
      <c r="F16" s="41">
        <f>SUM(F11:F15)*K16</f>
        <v>0</v>
      </c>
      <c r="G16" s="9"/>
      <c r="H16" s="9"/>
      <c r="I16" s="9"/>
      <c r="J16" s="20" t="s">
        <v>5</v>
      </c>
      <c r="K16" s="45">
        <f>Sheet1!B13</f>
        <v>0</v>
      </c>
      <c r="L16" s="9"/>
      <c r="M16" s="9"/>
      <c r="N16" s="9"/>
    </row>
    <row r="17" spans="1:16" ht="15" customHeight="1" x14ac:dyDescent="0.2">
      <c r="A17" s="194" t="s">
        <v>54</v>
      </c>
      <c r="B17" s="195"/>
      <c r="C17" s="46">
        <f>(SUM(A11*C11)+(A12*C12)+(A14*C14)+(A15*C15))*K16</f>
        <v>0</v>
      </c>
      <c r="D17" s="46" t="s">
        <v>55</v>
      </c>
      <c r="E17" s="47">
        <v>1.043569</v>
      </c>
      <c r="F17" s="48">
        <f>F16*E17</f>
        <v>0</v>
      </c>
      <c r="G17" s="9"/>
      <c r="H17" s="9"/>
      <c r="I17" s="9"/>
      <c r="J17" s="9"/>
      <c r="K17" s="9"/>
      <c r="L17" s="9"/>
      <c r="M17" s="9"/>
      <c r="N17" s="9"/>
    </row>
    <row r="18" spans="1:16" ht="15" customHeight="1" thickBot="1" x14ac:dyDescent="0.25">
      <c r="A18" s="196" t="s">
        <v>40</v>
      </c>
      <c r="B18" s="193"/>
      <c r="C18" s="49" t="s">
        <v>56</v>
      </c>
      <c r="D18" s="49"/>
      <c r="E18" s="50"/>
      <c r="F18" s="51">
        <f>F16+F17</f>
        <v>0</v>
      </c>
      <c r="G18" s="9"/>
      <c r="H18" s="52"/>
      <c r="I18" s="9"/>
      <c r="J18" s="20" t="s">
        <v>6</v>
      </c>
      <c r="K18" s="53">
        <f>F47</f>
        <v>0</v>
      </c>
      <c r="L18" s="9"/>
      <c r="M18" s="9"/>
      <c r="N18" s="9"/>
    </row>
    <row r="19" spans="1:16" ht="15" customHeight="1" thickTop="1" x14ac:dyDescent="0.2">
      <c r="A19" s="150" t="s">
        <v>41</v>
      </c>
      <c r="B19" s="150"/>
      <c r="C19" s="79"/>
      <c r="D19" s="58"/>
      <c r="E19" s="58"/>
      <c r="F19" s="58"/>
      <c r="G19" s="9"/>
      <c r="H19" s="52"/>
      <c r="I19" s="9"/>
      <c r="J19" s="20"/>
      <c r="K19" s="54"/>
      <c r="L19" s="9"/>
      <c r="M19" s="9"/>
      <c r="N19" s="9"/>
      <c r="O19" s="4"/>
      <c r="P19" s="4"/>
    </row>
    <row r="20" spans="1:16" ht="15" customHeight="1" x14ac:dyDescent="0.2">
      <c r="A20" s="192" t="s">
        <v>42</v>
      </c>
      <c r="B20" s="198"/>
      <c r="C20" s="28" t="s">
        <v>36</v>
      </c>
      <c r="D20" s="28" t="s">
        <v>37</v>
      </c>
      <c r="E20" s="28" t="s">
        <v>38</v>
      </c>
      <c r="F20" s="28" t="s">
        <v>3</v>
      </c>
      <c r="G20" s="9"/>
      <c r="H20" s="9"/>
      <c r="I20" s="158" t="s">
        <v>25</v>
      </c>
      <c r="J20" s="159"/>
      <c r="K20" s="56" t="e">
        <f>K18*(Sheet1!#REF!/100)</f>
        <v>#REF!</v>
      </c>
      <c r="L20" s="9"/>
      <c r="M20" s="9"/>
      <c r="N20" s="9"/>
      <c r="O20" s="4"/>
      <c r="P20" s="4"/>
    </row>
    <row r="21" spans="1:16" ht="15" customHeight="1" x14ac:dyDescent="0.2">
      <c r="A21" s="30">
        <f>Sheet1!C26</f>
        <v>0</v>
      </c>
      <c r="B21" s="81" t="str">
        <f>Sheet1!B26&amp;" - #"&amp;Sheet1!E26</f>
        <v xml:space="preserve"> - #</v>
      </c>
      <c r="C21" s="80">
        <f>Sheet1!D26</f>
        <v>0</v>
      </c>
      <c r="D21" s="33" t="s">
        <v>39</v>
      </c>
      <c r="E21" s="35" t="e">
        <f>LOOKUP(Sheet1!E26,Table336789101112131415[Equip Number], Table336789101112131415[Sched C/ County/ State])</f>
        <v>#N/A</v>
      </c>
      <c r="F21" s="35" t="e">
        <f>E21*A21*C21</f>
        <v>#N/A</v>
      </c>
      <c r="G21" s="9" t="s">
        <v>12</v>
      </c>
      <c r="H21" s="9"/>
      <c r="I21" s="9"/>
      <c r="J21" s="9"/>
      <c r="K21" s="57"/>
      <c r="L21" s="9"/>
      <c r="M21" s="9"/>
      <c r="N21" s="9"/>
    </row>
    <row r="22" spans="1:16" ht="15" customHeight="1" x14ac:dyDescent="0.2">
      <c r="A22" s="30">
        <f>Sheet1!C27</f>
        <v>0</v>
      </c>
      <c r="B22" s="81" t="str">
        <f>Sheet1!B27&amp;" - #"&amp;Sheet1!E27</f>
        <v xml:space="preserve"> - #</v>
      </c>
      <c r="C22" s="80">
        <f>Sheet1!D27</f>
        <v>0</v>
      </c>
      <c r="D22" s="33" t="s">
        <v>39</v>
      </c>
      <c r="E22" s="35" t="e">
        <f>LOOKUP(Sheet1!E27,Table336789101112131415[Equip Number], Table336789101112131415[Sched C/ County/ State])</f>
        <v>#N/A</v>
      </c>
      <c r="F22" s="35" t="e">
        <f t="shared" ref="F22:F37" si="0">E22*A22*C22</f>
        <v>#N/A</v>
      </c>
      <c r="G22" s="9"/>
      <c r="H22" s="9"/>
      <c r="I22" s="158" t="s">
        <v>26</v>
      </c>
      <c r="J22" s="159"/>
      <c r="K22" s="56" t="e">
        <f>K18*(Sheet1!#REF!/100)</f>
        <v>#REF!</v>
      </c>
      <c r="L22" s="58"/>
      <c r="M22" s="58"/>
      <c r="N22" s="9"/>
    </row>
    <row r="23" spans="1:16" ht="15" customHeight="1" x14ac:dyDescent="0.2">
      <c r="A23" s="30">
        <f>Sheet1!C28</f>
        <v>0</v>
      </c>
      <c r="B23" s="81" t="str">
        <f>Sheet1!B28&amp;" - #"&amp;Sheet1!E28</f>
        <v xml:space="preserve"> - #</v>
      </c>
      <c r="C23" s="80">
        <f>Sheet1!D28</f>
        <v>0</v>
      </c>
      <c r="D23" s="33" t="s">
        <v>39</v>
      </c>
      <c r="E23" s="35" t="e">
        <f>LOOKUP(Sheet1!E28,Table336789101112131415[Equip Number], Table336789101112131415[Sched C/ County/ State])</f>
        <v>#N/A</v>
      </c>
      <c r="F23" s="35" t="e">
        <f t="shared" si="0"/>
        <v>#N/A</v>
      </c>
      <c r="G23" s="9"/>
      <c r="H23" s="9"/>
      <c r="I23" s="59"/>
      <c r="J23" s="9"/>
      <c r="K23" s="57"/>
      <c r="L23" s="9"/>
      <c r="M23" s="9"/>
      <c r="N23" s="9"/>
    </row>
    <row r="24" spans="1:16" ht="15" customHeight="1" x14ac:dyDescent="0.2">
      <c r="A24" s="30">
        <f>Sheet1!C29</f>
        <v>0</v>
      </c>
      <c r="B24" s="81" t="str">
        <f>Sheet1!B29&amp;" - #"&amp;Sheet1!E29</f>
        <v xml:space="preserve"> - #</v>
      </c>
      <c r="C24" s="80">
        <f>Sheet1!D29</f>
        <v>0</v>
      </c>
      <c r="D24" s="33" t="s">
        <v>39</v>
      </c>
      <c r="E24" s="35" t="e">
        <f>LOOKUP(Sheet1!E29,Table336789101112131415[Equip Number], Table336789101112131415[Sched C/ County/ State])</f>
        <v>#N/A</v>
      </c>
      <c r="F24" s="35" t="e">
        <f t="shared" si="0"/>
        <v>#N/A</v>
      </c>
      <c r="G24" s="9"/>
      <c r="H24" s="9"/>
      <c r="I24" s="158" t="s">
        <v>27</v>
      </c>
      <c r="J24" s="159"/>
      <c r="K24" s="60"/>
      <c r="L24" s="58"/>
      <c r="M24" s="197" t="s">
        <v>63</v>
      </c>
      <c r="N24" s="166"/>
    </row>
    <row r="25" spans="1:16" ht="15" customHeight="1" x14ac:dyDescent="0.2">
      <c r="A25" s="30">
        <f>Sheet1!C30</f>
        <v>0</v>
      </c>
      <c r="B25" s="81" t="str">
        <f>Sheet1!B30&amp;" - #"&amp;Sheet1!E30</f>
        <v xml:space="preserve"> - #</v>
      </c>
      <c r="C25" s="80">
        <f>Sheet1!D30</f>
        <v>0</v>
      </c>
      <c r="D25" s="33" t="s">
        <v>39</v>
      </c>
      <c r="E25" s="35" t="e">
        <f>LOOKUP(Sheet1!E30,Table336789101112131415[Equip Number], Table336789101112131415[Sched C/ County/ State])</f>
        <v>#N/A</v>
      </c>
      <c r="F25" s="35" t="e">
        <f t="shared" si="0"/>
        <v>#N/A</v>
      </c>
      <c r="G25" s="9"/>
      <c r="H25" s="9"/>
      <c r="I25" s="62"/>
      <c r="J25" s="55"/>
      <c r="K25" s="59"/>
      <c r="L25" s="58"/>
      <c r="M25" s="61"/>
      <c r="N25" s="11"/>
    </row>
    <row r="26" spans="1:16" ht="15" customHeight="1" x14ac:dyDescent="0.2">
      <c r="A26" s="30">
        <f>Sheet1!C31</f>
        <v>0</v>
      </c>
      <c r="B26" s="81" t="str">
        <f>Sheet1!B31&amp;" - #"&amp;Sheet1!E31</f>
        <v xml:space="preserve"> - #</v>
      </c>
      <c r="C26" s="80">
        <f>Sheet1!D31</f>
        <v>0</v>
      </c>
      <c r="D26" s="33" t="s">
        <v>39</v>
      </c>
      <c r="E26" s="35" t="e">
        <f>LOOKUP(Sheet1!E31,Table336789101112131415[Equip Number], Table336789101112131415[Sched C/ County/ State])</f>
        <v>#N/A</v>
      </c>
      <c r="F26" s="35" t="e">
        <f t="shared" si="0"/>
        <v>#N/A</v>
      </c>
      <c r="G26" s="9"/>
      <c r="H26" s="199" t="s">
        <v>60</v>
      </c>
      <c r="I26" s="200"/>
      <c r="J26" s="200"/>
      <c r="K26" s="59" t="s">
        <v>61</v>
      </c>
      <c r="L26" s="58"/>
      <c r="M26" s="61" t="s">
        <v>62</v>
      </c>
      <c r="N26" s="9"/>
    </row>
    <row r="27" spans="1:16" ht="15" customHeight="1" thickBot="1" x14ac:dyDescent="0.25">
      <c r="A27" s="30">
        <f>Sheet1!C32</f>
        <v>0</v>
      </c>
      <c r="B27" s="81" t="str">
        <f>Sheet1!B32&amp;" - #"&amp;Sheet1!E32</f>
        <v xml:space="preserve"> - #</v>
      </c>
      <c r="C27" s="80">
        <f>Sheet1!D32</f>
        <v>0</v>
      </c>
      <c r="D27" s="33" t="s">
        <v>39</v>
      </c>
      <c r="E27" s="35" t="e">
        <f>LOOKUP(Sheet1!E32,Table336789101112131415[Equip Number], Table336789101112131415[Sched C/ County/ State])</f>
        <v>#N/A</v>
      </c>
      <c r="F27" s="35" t="e">
        <f t="shared" si="0"/>
        <v>#N/A</v>
      </c>
      <c r="G27" s="36"/>
      <c r="H27" s="9"/>
      <c r="I27" s="9"/>
      <c r="J27" s="9"/>
      <c r="K27" s="9"/>
      <c r="L27" s="9"/>
      <c r="M27" s="9"/>
      <c r="N27" s="9"/>
    </row>
    <row r="28" spans="1:16" ht="15" customHeight="1" thickTop="1" x14ac:dyDescent="0.2">
      <c r="A28" s="30">
        <f>Sheet1!C33</f>
        <v>0</v>
      </c>
      <c r="B28" s="81" t="str">
        <f>Sheet1!B33&amp;" - #"&amp;Sheet1!E33</f>
        <v xml:space="preserve"> - #</v>
      </c>
      <c r="C28" s="80">
        <f>Sheet1!D33</f>
        <v>0</v>
      </c>
      <c r="D28" s="33" t="s">
        <v>39</v>
      </c>
      <c r="E28" s="35" t="e">
        <f>LOOKUP(Sheet1!E33,Table336789101112131415[Equip Number], Table336789101112131415[Sched C/ County/ State])</f>
        <v>#N/A</v>
      </c>
      <c r="F28" s="35" t="e">
        <f t="shared" si="0"/>
        <v>#N/A</v>
      </c>
      <c r="G28" s="63" t="s">
        <v>18</v>
      </c>
      <c r="H28" s="63"/>
      <c r="I28" s="63"/>
      <c r="J28" s="63"/>
      <c r="K28" s="63"/>
      <c r="L28" s="63"/>
      <c r="M28" s="63"/>
      <c r="N28" s="63"/>
    </row>
    <row r="29" spans="1:16" ht="15" customHeight="1" x14ac:dyDescent="0.2">
      <c r="A29" s="30">
        <f>Sheet1!C34</f>
        <v>0</v>
      </c>
      <c r="B29" s="81" t="str">
        <f>Sheet1!B34&amp;" - #"&amp;Sheet1!E34</f>
        <v xml:space="preserve"> - #</v>
      </c>
      <c r="C29" s="80">
        <f>Sheet1!D34</f>
        <v>0</v>
      </c>
      <c r="D29" s="33" t="s">
        <v>39</v>
      </c>
      <c r="E29" s="35" t="e">
        <f>LOOKUP(Sheet1!E34,Table336789101112131415[Equip Number], Table336789101112131415[Sched C/ County/ State])</f>
        <v>#N/A</v>
      </c>
      <c r="F29" s="35" t="e">
        <f t="shared" si="0"/>
        <v>#N/A</v>
      </c>
      <c r="G29" s="64" t="s">
        <v>31</v>
      </c>
      <c r="H29" s="64"/>
      <c r="I29" s="64"/>
      <c r="J29" s="64"/>
      <c r="K29" s="64"/>
      <c r="L29" s="64"/>
      <c r="M29" s="64"/>
      <c r="N29" s="64"/>
    </row>
    <row r="30" spans="1:16" ht="15" customHeight="1" x14ac:dyDescent="0.2">
      <c r="A30" s="30">
        <f>Sheet1!C35</f>
        <v>0</v>
      </c>
      <c r="B30" s="81" t="str">
        <f>Sheet1!B35&amp;" - #"&amp;Sheet1!E35</f>
        <v xml:space="preserve"> - #</v>
      </c>
      <c r="C30" s="80">
        <f>Sheet1!D35</f>
        <v>0</v>
      </c>
      <c r="D30" s="33" t="s">
        <v>39</v>
      </c>
      <c r="E30" s="35" t="e">
        <f>LOOKUP(Sheet1!E35,Table336789101112131415[Equip Number], Table336789101112131415[Sched C/ County/ State])</f>
        <v>#N/A</v>
      </c>
      <c r="F30" s="35" t="e">
        <f t="shared" si="0"/>
        <v>#N/A</v>
      </c>
      <c r="G30" s="65" t="s">
        <v>30</v>
      </c>
      <c r="H30" s="64"/>
      <c r="I30" s="64"/>
      <c r="J30" s="64"/>
      <c r="K30" s="64"/>
      <c r="L30" s="64"/>
      <c r="M30" s="64"/>
      <c r="N30" s="64"/>
    </row>
    <row r="31" spans="1:16" ht="15" customHeight="1" x14ac:dyDescent="0.2">
      <c r="A31" s="30">
        <f>Sheet1!C36</f>
        <v>0</v>
      </c>
      <c r="B31" s="81" t="str">
        <f>Sheet1!B36&amp;" - #"&amp;Sheet1!E36</f>
        <v xml:space="preserve"> - #</v>
      </c>
      <c r="C31" s="80">
        <f>Sheet1!D36</f>
        <v>0</v>
      </c>
      <c r="D31" s="33" t="s">
        <v>39</v>
      </c>
      <c r="E31" s="35" t="e">
        <f>LOOKUP(Sheet1!E36,Table336789101112131415[Equip Number], Table336789101112131415[Sched C/ County/ State])</f>
        <v>#N/A</v>
      </c>
      <c r="F31" s="35" t="e">
        <f t="shared" si="0"/>
        <v>#N/A</v>
      </c>
      <c r="G31" s="66"/>
      <c r="H31" s="67"/>
      <c r="I31" s="67"/>
      <c r="J31" s="67"/>
      <c r="K31" s="67"/>
      <c r="L31" s="67"/>
      <c r="M31" s="67"/>
      <c r="N31" s="67"/>
    </row>
    <row r="32" spans="1:16" ht="15" customHeight="1" x14ac:dyDescent="0.2">
      <c r="A32" s="30">
        <f>Sheet1!C37</f>
        <v>0</v>
      </c>
      <c r="B32" s="81" t="str">
        <f>Sheet1!B37&amp;" - #"&amp;Sheet1!E37</f>
        <v xml:space="preserve"> - #</v>
      </c>
      <c r="C32" s="80">
        <f>Sheet1!D37</f>
        <v>0</v>
      </c>
      <c r="D32" s="33" t="s">
        <v>39</v>
      </c>
      <c r="E32" s="35" t="e">
        <f>LOOKUP(Sheet1!E37,Table336789101112131415[Equip Number], Table336789101112131415[Sched C/ County/ State])</f>
        <v>#N/A</v>
      </c>
      <c r="F32" s="35" t="e">
        <f t="shared" si="0"/>
        <v>#N/A</v>
      </c>
      <c r="G32" s="9"/>
      <c r="H32" s="158" t="s">
        <v>13</v>
      </c>
      <c r="I32" s="190"/>
      <c r="J32" s="138"/>
      <c r="K32" s="138"/>
      <c r="L32" s="138"/>
      <c r="M32" s="138"/>
      <c r="N32" s="22"/>
    </row>
    <row r="33" spans="1:14" ht="15" customHeight="1" x14ac:dyDescent="0.2">
      <c r="A33" s="30">
        <f>Sheet1!C38</f>
        <v>0</v>
      </c>
      <c r="B33" s="81" t="str">
        <f>Sheet1!B38&amp;" - #"&amp;Sheet1!E38</f>
        <v xml:space="preserve"> - #</v>
      </c>
      <c r="C33" s="80">
        <f>Sheet1!D38</f>
        <v>0</v>
      </c>
      <c r="D33" s="33" t="s">
        <v>39</v>
      </c>
      <c r="E33" s="35" t="e">
        <f>LOOKUP(Sheet1!E38,Table336789101112131415[Equip Number], Table336789101112131415[Sched C/ County/ State])</f>
        <v>#N/A</v>
      </c>
      <c r="F33" s="35" t="e">
        <f t="shared" si="0"/>
        <v>#N/A</v>
      </c>
      <c r="G33" s="9"/>
      <c r="H33" s="9"/>
      <c r="I33" s="9"/>
      <c r="J33" s="135" t="s">
        <v>7</v>
      </c>
      <c r="K33" s="135"/>
      <c r="L33" s="136"/>
      <c r="M33" s="136"/>
      <c r="N33" s="58" t="s">
        <v>8</v>
      </c>
    </row>
    <row r="34" spans="1:14" ht="15" customHeight="1" x14ac:dyDescent="0.2">
      <c r="A34" s="30">
        <f>Sheet1!C39</f>
        <v>0</v>
      </c>
      <c r="B34" s="81" t="str">
        <f>Sheet1!B39&amp;" - #"&amp;Sheet1!E39</f>
        <v xml:space="preserve"> - #</v>
      </c>
      <c r="C34" s="80">
        <f>Sheet1!D39</f>
        <v>0</v>
      </c>
      <c r="D34" s="33" t="s">
        <v>39</v>
      </c>
      <c r="E34" s="35" t="e">
        <f>LOOKUP(Sheet1!E39,Table336789101112131415[Equip Number], Table336789101112131415[Sched C/ County/ State])</f>
        <v>#N/A</v>
      </c>
      <c r="F34" s="35" t="e">
        <f t="shared" si="0"/>
        <v>#N/A</v>
      </c>
      <c r="G34" s="9"/>
      <c r="H34" s="137" t="s">
        <v>9</v>
      </c>
      <c r="I34" s="135"/>
      <c r="J34" s="138"/>
      <c r="K34" s="138"/>
      <c r="L34" s="138"/>
      <c r="M34" s="138"/>
      <c r="N34" s="22"/>
    </row>
    <row r="35" spans="1:14" ht="15" customHeight="1" x14ac:dyDescent="0.2">
      <c r="A35" s="30">
        <f>Sheet1!C40</f>
        <v>0</v>
      </c>
      <c r="B35" s="81" t="str">
        <f>Sheet1!B40&amp;" - #"&amp;Sheet1!E40</f>
        <v xml:space="preserve"> - #</v>
      </c>
      <c r="C35" s="80">
        <f>Sheet1!D40</f>
        <v>0</v>
      </c>
      <c r="D35" s="33" t="s">
        <v>39</v>
      </c>
      <c r="E35" s="35" t="e">
        <f>LOOKUP(Sheet1!E40,Table336789101112131415[Equip Number], Table336789101112131415[Sched C/ County/ State])</f>
        <v>#N/A</v>
      </c>
      <c r="F35" s="35" t="e">
        <f t="shared" si="0"/>
        <v>#N/A</v>
      </c>
      <c r="G35" s="9"/>
      <c r="H35" s="9"/>
      <c r="I35" s="9"/>
      <c r="J35" s="135" t="s">
        <v>19</v>
      </c>
      <c r="K35" s="135"/>
      <c r="L35" s="136"/>
      <c r="M35" s="136"/>
      <c r="N35" s="58" t="s">
        <v>8</v>
      </c>
    </row>
    <row r="36" spans="1:14" ht="15" customHeight="1" x14ac:dyDescent="0.2">
      <c r="A36" s="30">
        <f>Sheet1!C41</f>
        <v>0</v>
      </c>
      <c r="B36" s="81" t="str">
        <f>Sheet1!B41&amp;" - #"&amp;Sheet1!E41</f>
        <v xml:space="preserve"> - #</v>
      </c>
      <c r="C36" s="80">
        <f>Sheet1!D41</f>
        <v>0</v>
      </c>
      <c r="D36" s="33" t="s">
        <v>39</v>
      </c>
      <c r="E36" s="35" t="e">
        <f>LOOKUP(Sheet1!E41,Table336789101112131415[Equip Number], Table336789101112131415[Sched C/ County/ State])</f>
        <v>#N/A</v>
      </c>
      <c r="F36" s="35" t="e">
        <f t="shared" si="0"/>
        <v>#N/A</v>
      </c>
      <c r="N36" s="5"/>
    </row>
    <row r="37" spans="1:14" ht="15" customHeight="1" x14ac:dyDescent="0.2">
      <c r="A37" s="30">
        <f>Sheet1!C42</f>
        <v>0</v>
      </c>
      <c r="B37" s="81" t="str">
        <f>Sheet1!B42&amp;" - #"&amp;Sheet1!E42</f>
        <v xml:space="preserve"> - #</v>
      </c>
      <c r="C37" s="80">
        <f>Sheet1!D42</f>
        <v>0</v>
      </c>
      <c r="D37" s="33" t="s">
        <v>39</v>
      </c>
      <c r="E37" s="35" t="e">
        <f>LOOKUP(Sheet1!E42,Table336789101112131415[Equip Number], Table336789101112131415[Sched C/ County/ State])</f>
        <v>#N/A</v>
      </c>
      <c r="F37" s="35" t="e">
        <f t="shared" si="0"/>
        <v>#N/A</v>
      </c>
      <c r="G37" s="180" t="s">
        <v>10</v>
      </c>
      <c r="H37" s="181"/>
      <c r="I37" s="3"/>
      <c r="J37" s="180" t="s">
        <v>11</v>
      </c>
      <c r="K37" s="182"/>
      <c r="L37" s="3"/>
      <c r="M37" s="3"/>
      <c r="N37" s="3"/>
    </row>
    <row r="38" spans="1:14" ht="15" customHeight="1" x14ac:dyDescent="0.2">
      <c r="A38" s="148" t="s">
        <v>100</v>
      </c>
      <c r="B38" s="149"/>
      <c r="C38" s="149"/>
      <c r="D38" s="149"/>
      <c r="E38" s="149"/>
      <c r="F38" s="51" cm="1">
        <f t="array" ref="F38">SUM(IFERROR(F21:F37,0))</f>
        <v>0</v>
      </c>
      <c r="I38" s="2"/>
      <c r="J38" s="2"/>
      <c r="L38" s="183" t="s">
        <v>20</v>
      </c>
      <c r="M38" s="181"/>
      <c r="N38" s="5" t="s">
        <v>8</v>
      </c>
    </row>
    <row r="39" spans="1:14" ht="15" customHeight="1" thickBot="1" x14ac:dyDescent="0.25">
      <c r="A39" s="145" t="s">
        <v>59</v>
      </c>
      <c r="B39" s="146"/>
      <c r="C39" s="146"/>
      <c r="D39" s="147"/>
      <c r="E39" s="82">
        <v>1</v>
      </c>
      <c r="F39" s="51">
        <f>F38*K16</f>
        <v>0</v>
      </c>
    </row>
    <row r="40" spans="1:14" ht="15" customHeight="1" x14ac:dyDescent="0.2">
      <c r="A40" s="150" t="s">
        <v>43</v>
      </c>
      <c r="B40" s="150"/>
      <c r="C40" s="72"/>
      <c r="D40" s="83"/>
      <c r="E40" s="83"/>
      <c r="F40" s="83"/>
      <c r="K40" s="184" t="s">
        <v>28</v>
      </c>
      <c r="L40" s="185"/>
      <c r="M40" s="186"/>
      <c r="N40" s="6" t="s">
        <v>29</v>
      </c>
    </row>
    <row r="41" spans="1:14" ht="15" customHeight="1" x14ac:dyDescent="0.2">
      <c r="A41" s="151" t="s">
        <v>44</v>
      </c>
      <c r="B41" s="152"/>
      <c r="C41" s="28" t="s">
        <v>36</v>
      </c>
      <c r="D41" s="28" t="s">
        <v>37</v>
      </c>
      <c r="E41" s="28" t="s">
        <v>38</v>
      </c>
      <c r="F41" s="28" t="s">
        <v>3</v>
      </c>
      <c r="I41" s="2"/>
      <c r="K41" s="187"/>
      <c r="L41" s="188"/>
      <c r="M41" s="188"/>
      <c r="N41" s="189"/>
    </row>
    <row r="42" spans="1:14" ht="15" customHeight="1" x14ac:dyDescent="0.2">
      <c r="A42" s="143" t="s">
        <v>101</v>
      </c>
      <c r="B42" s="144"/>
      <c r="C42" s="33"/>
      <c r="D42" s="33" t="s">
        <v>50</v>
      </c>
      <c r="E42" s="35">
        <v>74.5</v>
      </c>
      <c r="F42" s="35">
        <f>E42*C42</f>
        <v>0</v>
      </c>
      <c r="K42" s="139" t="s">
        <v>14</v>
      </c>
      <c r="L42" s="140"/>
      <c r="M42" s="140"/>
      <c r="N42" s="7" t="s">
        <v>8</v>
      </c>
    </row>
    <row r="43" spans="1:14" ht="15" customHeight="1" thickBot="1" x14ac:dyDescent="0.25">
      <c r="A43" s="143" t="s">
        <v>102</v>
      </c>
      <c r="B43" s="144"/>
      <c r="C43" s="73"/>
      <c r="D43" s="33" t="s">
        <v>49</v>
      </c>
      <c r="E43" s="71">
        <v>6.5</v>
      </c>
      <c r="F43" s="35">
        <f>E43*C43</f>
        <v>0</v>
      </c>
      <c r="K43" s="178" t="s">
        <v>64</v>
      </c>
      <c r="L43" s="179"/>
      <c r="M43" s="179"/>
      <c r="N43" s="8" t="s">
        <v>65</v>
      </c>
    </row>
    <row r="44" spans="1:14" ht="15" customHeight="1" x14ac:dyDescent="0.2">
      <c r="A44" s="143" t="s">
        <v>103</v>
      </c>
      <c r="B44" s="144"/>
      <c r="C44" s="73"/>
      <c r="D44" s="33" t="s">
        <v>104</v>
      </c>
      <c r="E44" s="71"/>
      <c r="F44" s="35">
        <f>E44*C44</f>
        <v>0</v>
      </c>
    </row>
    <row r="45" spans="1:14" ht="15" customHeight="1" x14ac:dyDescent="0.2">
      <c r="A45" s="141" t="s">
        <v>45</v>
      </c>
      <c r="B45" s="142"/>
      <c r="C45" s="49"/>
      <c r="D45" s="49"/>
      <c r="E45" s="50"/>
      <c r="F45" s="51">
        <f>SUM(F42:F44)</f>
        <v>0</v>
      </c>
    </row>
    <row r="46" spans="1:14" ht="15" customHeight="1" x14ac:dyDescent="0.2">
      <c r="A46" s="70"/>
      <c r="B46"/>
      <c r="C46" s="58"/>
      <c r="D46" s="58"/>
      <c r="E46" s="84"/>
      <c r="F46" s="84"/>
    </row>
    <row r="47" spans="1:14" ht="15" x14ac:dyDescent="0.2">
      <c r="A47"/>
      <c r="B47" s="85" t="s">
        <v>46</v>
      </c>
      <c r="C47" s="85"/>
      <c r="D47" s="85"/>
      <c r="E47" s="85"/>
      <c r="F47" s="86">
        <f>F45+F39+F18</f>
        <v>0</v>
      </c>
    </row>
    <row r="48" spans="1:14" x14ac:dyDescent="0.2">
      <c r="A48"/>
      <c r="B48" s="75"/>
      <c r="C48"/>
      <c r="D48" s="76" t="s">
        <v>47</v>
      </c>
      <c r="E48" s="133" t="s">
        <v>48</v>
      </c>
      <c r="F48" s="134"/>
    </row>
    <row r="49" spans="2:6" x14ac:dyDescent="0.2">
      <c r="B49" s="74"/>
      <c r="C49"/>
      <c r="D49" s="77">
        <f>Sheet1!B3</f>
        <v>0</v>
      </c>
      <c r="E49" s="78"/>
      <c r="F49" s="78">
        <f>Sheet1!B2</f>
        <v>0</v>
      </c>
    </row>
  </sheetData>
  <autoFilter ref="A1:N34" xr:uid="{00000000-0009-0000-0000-000000000000}">
    <filterColumn colId="1" showButton="0"/>
    <filterColumn colId="2" showButton="0"/>
    <filterColumn colId="3" showButton="0"/>
    <filterColumn colId="4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51">
    <mergeCell ref="A19:B19"/>
    <mergeCell ref="H32:I32"/>
    <mergeCell ref="J32:M32"/>
    <mergeCell ref="A9:B9"/>
    <mergeCell ref="A10:B10"/>
    <mergeCell ref="A13:B13"/>
    <mergeCell ref="A17:B17"/>
    <mergeCell ref="A18:B18"/>
    <mergeCell ref="M24:N24"/>
    <mergeCell ref="I24:J24"/>
    <mergeCell ref="A20:B20"/>
    <mergeCell ref="H26:J26"/>
    <mergeCell ref="C4:F4"/>
    <mergeCell ref="G4:N4"/>
    <mergeCell ref="C5:F5"/>
    <mergeCell ref="C6:F6"/>
    <mergeCell ref="H6:I6"/>
    <mergeCell ref="J6:L6"/>
    <mergeCell ref="M6:N6"/>
    <mergeCell ref="B1:F1"/>
    <mergeCell ref="H1:N1"/>
    <mergeCell ref="B2:F2"/>
    <mergeCell ref="H2:N2"/>
    <mergeCell ref="B3:F3"/>
    <mergeCell ref="H3:N3"/>
    <mergeCell ref="C7:F7"/>
    <mergeCell ref="C8:F8"/>
    <mergeCell ref="G11:G12"/>
    <mergeCell ref="I20:J20"/>
    <mergeCell ref="I22:J22"/>
    <mergeCell ref="C16:D16"/>
    <mergeCell ref="A45:B45"/>
    <mergeCell ref="A43:B43"/>
    <mergeCell ref="A44:B44"/>
    <mergeCell ref="A39:D39"/>
    <mergeCell ref="A38:E38"/>
    <mergeCell ref="A40:B40"/>
    <mergeCell ref="A41:B41"/>
    <mergeCell ref="A42:B42"/>
    <mergeCell ref="E48:F48"/>
    <mergeCell ref="J33:M33"/>
    <mergeCell ref="H34:I34"/>
    <mergeCell ref="J34:M34"/>
    <mergeCell ref="K42:M42"/>
    <mergeCell ref="K43:M43"/>
    <mergeCell ref="J35:M35"/>
    <mergeCell ref="G37:H37"/>
    <mergeCell ref="J37:K37"/>
    <mergeCell ref="L38:M38"/>
    <mergeCell ref="K40:M40"/>
    <mergeCell ref="K41:N41"/>
  </mergeCells>
  <printOptions horizontalCentered="1" verticalCentered="1"/>
  <pageMargins left="0.25" right="0.25" top="0.25" bottom="0" header="0.2" footer="0.25"/>
  <pageSetup orientation="portrait" verticalDpi="598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72705" r:id="rId4">
          <objectPr defaultSize="0" autoPict="0" r:id="rId5">
            <anchor moveWithCells="1">
              <from>
                <xdr:col>0</xdr:col>
                <xdr:colOff>38100</xdr:colOff>
                <xdr:row>0</xdr:row>
                <xdr:rowOff>0</xdr:rowOff>
              </from>
              <to>
                <xdr:col>1</xdr:col>
                <xdr:colOff>771525</xdr:colOff>
                <xdr:row>3</xdr:row>
                <xdr:rowOff>171450</xdr:rowOff>
              </to>
            </anchor>
          </objectPr>
        </oleObject>
      </mc:Choice>
      <mc:Fallback>
        <oleObject progId="Word.Document.8" shapeId="72705" r:id="rId4"/>
      </mc:Fallback>
    </mc:AlternateContent>
    <mc:AlternateContent xmlns:mc="http://schemas.openxmlformats.org/markup-compatibility/2006">
      <mc:Choice Requires="x14">
        <oleObject progId="Word.Document.8" shapeId="72706" r:id="rId6">
          <objectPr defaultSize="0" autoPict="0" r:id="rId5">
            <anchor moveWithCells="1">
              <from>
                <xdr:col>6</xdr:col>
                <xdr:colOff>38100</xdr:colOff>
                <xdr:row>0</xdr:row>
                <xdr:rowOff>38100</xdr:rowOff>
              </from>
              <to>
                <xdr:col>6</xdr:col>
                <xdr:colOff>952500</xdr:colOff>
                <xdr:row>3</xdr:row>
                <xdr:rowOff>209550</xdr:rowOff>
              </to>
            </anchor>
          </objectPr>
        </oleObject>
      </mc:Choice>
      <mc:Fallback>
        <oleObject progId="Word.Document.8" shapeId="72706" r:id="rId6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A5BBA-845C-4F49-9897-BC78F3563CA8}">
  <dimension ref="A1:J1457"/>
  <sheetViews>
    <sheetView topLeftCell="A53" workbookViewId="0">
      <selection activeCell="B5" sqref="B5"/>
    </sheetView>
  </sheetViews>
  <sheetFormatPr defaultRowHeight="15" x14ac:dyDescent="0.2"/>
  <cols>
    <col min="1" max="1" width="11.7109375" style="131" customWidth="1"/>
    <col min="2" max="2" width="29.42578125" style="96" customWidth="1"/>
    <col min="3" max="3" width="11.7109375" style="96" customWidth="1"/>
    <col min="4" max="4" width="15.7109375" style="96" customWidth="1"/>
    <col min="5" max="5" width="15.28515625" style="96" customWidth="1"/>
    <col min="6" max="7" width="12.7109375" style="96" customWidth="1"/>
    <col min="8" max="8" width="1.7109375" style="121" customWidth="1"/>
    <col min="9" max="9" width="12.7109375" style="96" customWidth="1"/>
    <col min="10" max="10" width="12.7109375" style="132" customWidth="1"/>
  </cols>
  <sheetData>
    <row r="1" spans="1:10" ht="12.75" x14ac:dyDescent="0.2">
      <c r="A1" s="201" t="s">
        <v>105</v>
      </c>
      <c r="B1" s="202"/>
      <c r="C1" s="202"/>
      <c r="D1" s="202"/>
      <c r="E1" s="202"/>
      <c r="F1" s="202"/>
      <c r="G1" s="202"/>
      <c r="H1" s="202"/>
      <c r="I1" s="202"/>
      <c r="J1" s="203"/>
    </row>
    <row r="2" spans="1:10" x14ac:dyDescent="0.2">
      <c r="A2" s="204" t="s">
        <v>106</v>
      </c>
      <c r="B2" s="202"/>
      <c r="C2" s="202"/>
      <c r="D2" s="202"/>
      <c r="E2" s="203"/>
      <c r="F2" s="205" t="s">
        <v>107</v>
      </c>
      <c r="G2" s="202"/>
      <c r="H2" s="87"/>
      <c r="I2" s="204" t="s">
        <v>108</v>
      </c>
      <c r="J2" s="203"/>
    </row>
    <row r="3" spans="1:10" ht="105" x14ac:dyDescent="0.2">
      <c r="A3" s="88" t="s">
        <v>109</v>
      </c>
      <c r="B3" s="89" t="s">
        <v>110</v>
      </c>
      <c r="C3" s="89" t="s">
        <v>111</v>
      </c>
      <c r="D3" s="89" t="s">
        <v>112</v>
      </c>
      <c r="E3" s="89" t="s">
        <v>113</v>
      </c>
      <c r="F3" s="89" t="s">
        <v>114</v>
      </c>
      <c r="G3" s="89" t="s">
        <v>115</v>
      </c>
      <c r="H3" s="90" t="s">
        <v>116</v>
      </c>
      <c r="I3" s="91" t="s">
        <v>117</v>
      </c>
      <c r="J3" s="92" t="s">
        <v>118</v>
      </c>
    </row>
    <row r="4" spans="1:10" x14ac:dyDescent="0.2">
      <c r="A4" s="93">
        <v>100</v>
      </c>
      <c r="B4" s="94" t="s">
        <v>119</v>
      </c>
      <c r="C4" s="95">
        <v>2020</v>
      </c>
      <c r="D4" s="96" t="s">
        <v>120</v>
      </c>
      <c r="E4" s="96" t="s">
        <v>121</v>
      </c>
      <c r="F4" s="97">
        <v>10.75</v>
      </c>
      <c r="G4" s="98"/>
      <c r="H4" s="90"/>
      <c r="I4" s="97">
        <v>10.06</v>
      </c>
      <c r="J4" s="99">
        <f>Table336789101112131415[[#This Row],[Sched C/ County/ State]]-Table336789101112131415[[#This Row],[2025 Rate]]</f>
        <v>0.69</v>
      </c>
    </row>
    <row r="5" spans="1:10" ht="31.5" x14ac:dyDescent="0.2">
      <c r="A5" s="93">
        <v>101</v>
      </c>
      <c r="B5" s="100" t="s">
        <v>122</v>
      </c>
      <c r="C5" s="95">
        <v>2021</v>
      </c>
      <c r="D5" s="96" t="s">
        <v>123</v>
      </c>
      <c r="E5" s="96" t="s">
        <v>124</v>
      </c>
      <c r="F5" s="101">
        <v>8.11</v>
      </c>
      <c r="G5" s="98"/>
      <c r="H5" s="90"/>
      <c r="I5" s="101">
        <v>7.59</v>
      </c>
      <c r="J5" s="99">
        <f>Table336789101112131415[[#This Row],[Sched C/ County/ State]]-Table336789101112131415[[#This Row],[2025 Rate]]</f>
        <v>0.52</v>
      </c>
    </row>
    <row r="6" spans="1:10" x14ac:dyDescent="0.2">
      <c r="A6" s="93">
        <v>106</v>
      </c>
      <c r="B6" s="94" t="s">
        <v>125</v>
      </c>
      <c r="C6" s="95">
        <v>2021</v>
      </c>
      <c r="D6" s="96" t="s">
        <v>126</v>
      </c>
      <c r="F6" s="101">
        <v>16.27</v>
      </c>
      <c r="G6" s="102"/>
      <c r="H6" s="90"/>
      <c r="I6" s="101">
        <v>15.23</v>
      </c>
      <c r="J6" s="99">
        <f>Table336789101112131415[[#This Row],[Sched C/ County/ State]]-Table336789101112131415[[#This Row],[2025 Rate]]</f>
        <v>1.04</v>
      </c>
    </row>
    <row r="7" spans="1:10" ht="30" x14ac:dyDescent="0.2">
      <c r="A7" s="93">
        <v>309</v>
      </c>
      <c r="B7" s="94" t="s">
        <v>127</v>
      </c>
      <c r="C7" s="95">
        <v>2017</v>
      </c>
      <c r="D7" s="96" t="s">
        <v>128</v>
      </c>
      <c r="E7" s="96" t="s">
        <v>129</v>
      </c>
      <c r="F7" s="101">
        <v>47.75</v>
      </c>
      <c r="G7" s="98"/>
      <c r="H7" s="90"/>
      <c r="I7" s="101">
        <v>44.68</v>
      </c>
      <c r="J7" s="99">
        <f>Table336789101112131415[[#This Row],[Sched C/ County/ State]]-Table336789101112131415[[#This Row],[2025 Rate]]</f>
        <v>3.07</v>
      </c>
    </row>
    <row r="8" spans="1:10" ht="30" x14ac:dyDescent="0.2">
      <c r="A8" s="93">
        <v>314</v>
      </c>
      <c r="B8" s="96" t="s">
        <v>130</v>
      </c>
      <c r="C8" s="95">
        <v>2002</v>
      </c>
      <c r="D8" s="96" t="s">
        <v>131</v>
      </c>
      <c r="E8" s="96" t="s">
        <v>132</v>
      </c>
      <c r="F8" s="101">
        <v>3.05</v>
      </c>
      <c r="G8" s="103"/>
      <c r="H8" s="104"/>
      <c r="I8" s="101">
        <v>2.85</v>
      </c>
      <c r="J8" s="99">
        <f>Table336789101112131415[[#This Row],[Sched C/ County/ State]]-Table336789101112131415[[#This Row],[2025 Rate]]</f>
        <v>0.2</v>
      </c>
    </row>
    <row r="9" spans="1:10" ht="30" x14ac:dyDescent="0.2">
      <c r="A9" s="93">
        <v>315</v>
      </c>
      <c r="B9" s="96" t="s">
        <v>133</v>
      </c>
      <c r="C9" s="95">
        <v>2002</v>
      </c>
      <c r="D9" s="96" t="s">
        <v>131</v>
      </c>
      <c r="E9" s="96" t="s">
        <v>134</v>
      </c>
      <c r="F9" s="101">
        <v>20.91</v>
      </c>
      <c r="G9" s="103"/>
      <c r="H9" s="104"/>
      <c r="I9" s="101">
        <v>19.57</v>
      </c>
      <c r="J9" s="99">
        <f>Table336789101112131415[[#This Row],[Sched C/ County/ State]]-Table336789101112131415[[#This Row],[2025 Rate]]</f>
        <v>1.34</v>
      </c>
    </row>
    <row r="10" spans="1:10" x14ac:dyDescent="0.2">
      <c r="A10" s="93">
        <v>316</v>
      </c>
      <c r="B10" s="96" t="s">
        <v>135</v>
      </c>
      <c r="C10" s="95">
        <v>1993</v>
      </c>
      <c r="D10" s="96" t="s">
        <v>136</v>
      </c>
      <c r="E10" s="96" t="s">
        <v>137</v>
      </c>
      <c r="F10" s="101">
        <v>33.4</v>
      </c>
      <c r="G10" s="103"/>
      <c r="H10" s="104"/>
      <c r="I10" s="101">
        <v>30.99</v>
      </c>
      <c r="J10" s="99">
        <f>Table336789101112131415[[#This Row],[Sched C/ County/ State]]-Table336789101112131415[[#This Row],[2025 Rate]]</f>
        <v>2.41</v>
      </c>
    </row>
    <row r="11" spans="1:10" x14ac:dyDescent="0.2">
      <c r="A11" s="93">
        <v>317</v>
      </c>
      <c r="B11" s="96" t="s">
        <v>138</v>
      </c>
      <c r="C11" s="95"/>
      <c r="F11" s="101">
        <v>1.2</v>
      </c>
      <c r="G11" s="103"/>
      <c r="H11" s="104"/>
      <c r="I11" s="101">
        <v>1.1200000000000001</v>
      </c>
      <c r="J11" s="99">
        <f>Table336789101112131415[[#This Row],[Sched C/ County/ State]]-Table336789101112131415[[#This Row],[2025 Rate]]</f>
        <v>0.08</v>
      </c>
    </row>
    <row r="12" spans="1:10" x14ac:dyDescent="0.2">
      <c r="A12" s="93">
        <v>318</v>
      </c>
      <c r="B12" s="96" t="s">
        <v>139</v>
      </c>
      <c r="C12" s="95">
        <v>1993</v>
      </c>
      <c r="D12" s="96" t="s">
        <v>140</v>
      </c>
      <c r="E12" s="96" t="s">
        <v>141</v>
      </c>
      <c r="F12" s="101">
        <v>18.04</v>
      </c>
      <c r="G12" s="103"/>
      <c r="H12" s="104"/>
      <c r="I12" s="101">
        <v>16.88</v>
      </c>
      <c r="J12" s="99">
        <f>Table336789101112131415[[#This Row],[Sched C/ County/ State]]-Table336789101112131415[[#This Row],[2025 Rate]]</f>
        <v>1.1599999999999999</v>
      </c>
    </row>
    <row r="13" spans="1:10" x14ac:dyDescent="0.2">
      <c r="A13" s="93">
        <v>401</v>
      </c>
      <c r="B13" s="96" t="s">
        <v>142</v>
      </c>
      <c r="C13" s="95">
        <v>2010</v>
      </c>
      <c r="D13" s="96" t="s">
        <v>143</v>
      </c>
      <c r="E13" s="96" t="s">
        <v>144</v>
      </c>
      <c r="F13" s="101">
        <v>0.78</v>
      </c>
      <c r="G13" s="103"/>
      <c r="H13" s="104"/>
      <c r="I13" s="101">
        <v>0.73</v>
      </c>
      <c r="J13" s="99">
        <f>Table336789101112131415[[#This Row],[Sched C/ County/ State]]-Table336789101112131415[[#This Row],[2025 Rate]]</f>
        <v>0.05</v>
      </c>
    </row>
    <row r="14" spans="1:10" x14ac:dyDescent="0.2">
      <c r="A14" s="93">
        <v>402</v>
      </c>
      <c r="B14" s="96" t="s">
        <v>142</v>
      </c>
      <c r="C14" s="95">
        <v>2010</v>
      </c>
      <c r="D14" s="96" t="s">
        <v>143</v>
      </c>
      <c r="E14" s="96" t="s">
        <v>144</v>
      </c>
      <c r="F14" s="101">
        <v>0.78</v>
      </c>
      <c r="G14" s="103"/>
      <c r="H14" s="104"/>
      <c r="I14" s="101">
        <v>0.73</v>
      </c>
      <c r="J14" s="99">
        <f>Table336789101112131415[[#This Row],[Sched C/ County/ State]]-Table336789101112131415[[#This Row],[2025 Rate]]</f>
        <v>0.05</v>
      </c>
    </row>
    <row r="15" spans="1:10" x14ac:dyDescent="0.2">
      <c r="A15" s="93">
        <v>403</v>
      </c>
      <c r="B15" s="96" t="s">
        <v>142</v>
      </c>
      <c r="C15" s="95">
        <v>2010</v>
      </c>
      <c r="D15" s="96" t="s">
        <v>143</v>
      </c>
      <c r="E15" s="96" t="s">
        <v>144</v>
      </c>
      <c r="F15" s="101">
        <v>0.78</v>
      </c>
      <c r="G15" s="103"/>
      <c r="H15" s="104"/>
      <c r="I15" s="101">
        <v>0.73</v>
      </c>
      <c r="J15" s="99">
        <f>Table336789101112131415[[#This Row],[Sched C/ County/ State]]-Table336789101112131415[[#This Row],[2025 Rate]]</f>
        <v>0.05</v>
      </c>
    </row>
    <row r="16" spans="1:10" x14ac:dyDescent="0.2">
      <c r="A16" s="93">
        <v>404</v>
      </c>
      <c r="B16" s="96" t="s">
        <v>142</v>
      </c>
      <c r="C16" s="95">
        <v>2010</v>
      </c>
      <c r="D16" s="96" t="s">
        <v>143</v>
      </c>
      <c r="E16" s="96" t="s">
        <v>144</v>
      </c>
      <c r="F16" s="101">
        <v>0.78</v>
      </c>
      <c r="G16" s="103"/>
      <c r="H16" s="104"/>
      <c r="I16" s="101">
        <v>0.73</v>
      </c>
      <c r="J16" s="99">
        <f>Table336789101112131415[[#This Row],[Sched C/ County/ State]]-Table336789101112131415[[#This Row],[2025 Rate]]</f>
        <v>0.05</v>
      </c>
    </row>
    <row r="17" spans="1:10" x14ac:dyDescent="0.2">
      <c r="A17" s="93">
        <v>405</v>
      </c>
      <c r="B17" s="96" t="s">
        <v>142</v>
      </c>
      <c r="C17" s="95">
        <v>2010</v>
      </c>
      <c r="D17" s="96" t="s">
        <v>143</v>
      </c>
      <c r="E17" s="96" t="s">
        <v>144</v>
      </c>
      <c r="F17" s="101">
        <v>0.78</v>
      </c>
      <c r="G17" s="103"/>
      <c r="H17" s="104"/>
      <c r="I17" s="101">
        <v>0.73</v>
      </c>
      <c r="J17" s="99">
        <f>Table336789101112131415[[#This Row],[Sched C/ County/ State]]-Table336789101112131415[[#This Row],[2025 Rate]]</f>
        <v>0.05</v>
      </c>
    </row>
    <row r="18" spans="1:10" x14ac:dyDescent="0.2">
      <c r="A18" s="93">
        <v>406</v>
      </c>
      <c r="B18" s="96" t="s">
        <v>145</v>
      </c>
      <c r="C18" s="95">
        <v>2010</v>
      </c>
      <c r="D18" s="96" t="s">
        <v>143</v>
      </c>
      <c r="E18" s="96" t="s">
        <v>146</v>
      </c>
      <c r="F18" s="101">
        <v>0.78</v>
      </c>
      <c r="G18" s="103"/>
      <c r="H18" s="104"/>
      <c r="I18" s="101">
        <v>0.73</v>
      </c>
      <c r="J18" s="99">
        <f>Table336789101112131415[[#This Row],[Sched C/ County/ State]]-Table336789101112131415[[#This Row],[2025 Rate]]</f>
        <v>0.05</v>
      </c>
    </row>
    <row r="19" spans="1:10" x14ac:dyDescent="0.2">
      <c r="A19" s="93">
        <v>407</v>
      </c>
      <c r="B19" s="96" t="s">
        <v>142</v>
      </c>
      <c r="C19" s="95">
        <v>2010</v>
      </c>
      <c r="D19" s="96" t="s">
        <v>143</v>
      </c>
      <c r="E19" s="96" t="s">
        <v>144</v>
      </c>
      <c r="F19" s="101">
        <v>0.78</v>
      </c>
      <c r="G19" s="103"/>
      <c r="H19" s="104"/>
      <c r="I19" s="101">
        <v>0.73</v>
      </c>
      <c r="J19" s="99">
        <f>Table336789101112131415[[#This Row],[Sched C/ County/ State]]-Table336789101112131415[[#This Row],[2025 Rate]]</f>
        <v>0.05</v>
      </c>
    </row>
    <row r="20" spans="1:10" x14ac:dyDescent="0.2">
      <c r="A20" s="93">
        <v>408</v>
      </c>
      <c r="B20" s="96" t="s">
        <v>142</v>
      </c>
      <c r="C20" s="95">
        <v>2010</v>
      </c>
      <c r="D20" s="96" t="s">
        <v>143</v>
      </c>
      <c r="E20" s="96" t="s">
        <v>144</v>
      </c>
      <c r="F20" s="101">
        <v>0.78</v>
      </c>
      <c r="G20" s="103"/>
      <c r="H20" s="104"/>
      <c r="I20" s="101">
        <v>0.73</v>
      </c>
      <c r="J20" s="99">
        <f>Table336789101112131415[[#This Row],[Sched C/ County/ State]]-Table336789101112131415[[#This Row],[2025 Rate]]</f>
        <v>0.05</v>
      </c>
    </row>
    <row r="21" spans="1:10" x14ac:dyDescent="0.2">
      <c r="A21" s="93">
        <v>409</v>
      </c>
      <c r="B21" s="96" t="s">
        <v>142</v>
      </c>
      <c r="C21" s="95">
        <v>2010</v>
      </c>
      <c r="D21" s="96" t="s">
        <v>143</v>
      </c>
      <c r="E21" s="96" t="s">
        <v>144</v>
      </c>
      <c r="F21" s="101">
        <v>0.78</v>
      </c>
      <c r="G21" s="103"/>
      <c r="H21" s="104"/>
      <c r="I21" s="101">
        <v>0.73</v>
      </c>
      <c r="J21" s="99">
        <f>Table336789101112131415[[#This Row],[Sched C/ County/ State]]-Table336789101112131415[[#This Row],[2025 Rate]]</f>
        <v>0.05</v>
      </c>
    </row>
    <row r="22" spans="1:10" x14ac:dyDescent="0.2">
      <c r="A22" s="93">
        <v>417</v>
      </c>
      <c r="B22" s="94" t="s">
        <v>147</v>
      </c>
      <c r="C22" s="95">
        <v>2017</v>
      </c>
      <c r="D22" s="96" t="s">
        <v>148</v>
      </c>
      <c r="E22" s="96" t="s">
        <v>149</v>
      </c>
      <c r="F22" s="101">
        <v>6.98</v>
      </c>
      <c r="G22" s="105"/>
      <c r="H22" s="106"/>
      <c r="I22" s="101">
        <v>6.53</v>
      </c>
      <c r="J22" s="99">
        <f>Table336789101112131415[[#This Row],[Sched C/ County/ State]]-Table336789101112131415[[#This Row],[2025 Rate]]</f>
        <v>0.45</v>
      </c>
    </row>
    <row r="23" spans="1:10" x14ac:dyDescent="0.2">
      <c r="A23" s="93">
        <v>419</v>
      </c>
      <c r="B23" s="94" t="s">
        <v>150</v>
      </c>
      <c r="C23" s="95">
        <v>2017</v>
      </c>
      <c r="D23" s="96" t="s">
        <v>148</v>
      </c>
      <c r="E23" s="96">
        <v>365</v>
      </c>
      <c r="F23" s="101">
        <v>6.98</v>
      </c>
      <c r="G23" s="105"/>
      <c r="H23" s="106"/>
      <c r="I23" s="101">
        <v>6.53</v>
      </c>
      <c r="J23" s="99">
        <f>Table336789101112131415[[#This Row],[Sched C/ County/ State]]-Table336789101112131415[[#This Row],[2025 Rate]]</f>
        <v>0.45</v>
      </c>
    </row>
    <row r="24" spans="1:10" x14ac:dyDescent="0.2">
      <c r="A24" s="93">
        <v>424</v>
      </c>
      <c r="B24" s="94" t="s">
        <v>151</v>
      </c>
      <c r="C24" s="95">
        <v>2017</v>
      </c>
      <c r="D24" s="96" t="s">
        <v>152</v>
      </c>
      <c r="E24" s="96" t="s">
        <v>153</v>
      </c>
      <c r="F24" s="101">
        <v>4.74</v>
      </c>
      <c r="G24" s="103"/>
      <c r="H24" s="104"/>
      <c r="I24" s="101">
        <v>4.4400000000000004</v>
      </c>
      <c r="J24" s="99">
        <f>Table336789101112131415[[#This Row],[Sched C/ County/ State]]-Table336789101112131415[[#This Row],[2025 Rate]]</f>
        <v>0.3</v>
      </c>
    </row>
    <row r="25" spans="1:10" ht="30" x14ac:dyDescent="0.2">
      <c r="A25" s="93">
        <v>427</v>
      </c>
      <c r="B25" s="96" t="s">
        <v>142</v>
      </c>
      <c r="C25" s="95">
        <v>2008</v>
      </c>
      <c r="D25" s="96" t="s">
        <v>143</v>
      </c>
      <c r="E25" s="96" t="s">
        <v>154</v>
      </c>
      <c r="F25" s="101">
        <v>0.78</v>
      </c>
      <c r="G25" s="103"/>
      <c r="H25" s="104"/>
      <c r="I25" s="101">
        <v>0.73</v>
      </c>
      <c r="J25" s="99">
        <f>Table336789101112131415[[#This Row],[Sched C/ County/ State]]-Table336789101112131415[[#This Row],[2025 Rate]]</f>
        <v>0.05</v>
      </c>
    </row>
    <row r="26" spans="1:10" ht="30" x14ac:dyDescent="0.2">
      <c r="A26" s="93">
        <v>431</v>
      </c>
      <c r="B26" s="96" t="s">
        <v>142</v>
      </c>
      <c r="C26" s="95">
        <v>2008</v>
      </c>
      <c r="D26" s="96" t="s">
        <v>143</v>
      </c>
      <c r="E26" s="96" t="s">
        <v>155</v>
      </c>
      <c r="F26" s="101">
        <v>0.78</v>
      </c>
      <c r="G26" s="103"/>
      <c r="H26" s="104"/>
      <c r="I26" s="101">
        <v>0.73</v>
      </c>
      <c r="J26" s="99">
        <f>Table336789101112131415[[#This Row],[Sched C/ County/ State]]-Table336789101112131415[[#This Row],[2025 Rate]]</f>
        <v>0.05</v>
      </c>
    </row>
    <row r="27" spans="1:10" x14ac:dyDescent="0.2">
      <c r="A27" s="93">
        <v>432</v>
      </c>
      <c r="B27" s="96" t="s">
        <v>142</v>
      </c>
      <c r="C27" s="95">
        <v>2010</v>
      </c>
      <c r="D27" s="96" t="s">
        <v>143</v>
      </c>
      <c r="E27" s="96" t="s">
        <v>144</v>
      </c>
      <c r="F27" s="101">
        <v>0.78</v>
      </c>
      <c r="G27" s="103"/>
      <c r="H27" s="104"/>
      <c r="I27" s="101">
        <v>0.73</v>
      </c>
      <c r="J27" s="99">
        <f>Table336789101112131415[[#This Row],[Sched C/ County/ State]]-Table336789101112131415[[#This Row],[2025 Rate]]</f>
        <v>0.05</v>
      </c>
    </row>
    <row r="28" spans="1:10" x14ac:dyDescent="0.2">
      <c r="A28" s="93">
        <v>433</v>
      </c>
      <c r="B28" s="96" t="s">
        <v>142</v>
      </c>
      <c r="C28" s="95">
        <v>2010</v>
      </c>
      <c r="D28" s="96" t="s">
        <v>143</v>
      </c>
      <c r="E28" s="96" t="s">
        <v>144</v>
      </c>
      <c r="F28" s="101">
        <v>0.78</v>
      </c>
      <c r="G28" s="103"/>
      <c r="H28" s="104"/>
      <c r="I28" s="101">
        <v>0.73</v>
      </c>
      <c r="J28" s="99">
        <f>Table336789101112131415[[#This Row],[Sched C/ County/ State]]-Table336789101112131415[[#This Row],[2025 Rate]]</f>
        <v>0.05</v>
      </c>
    </row>
    <row r="29" spans="1:10" x14ac:dyDescent="0.2">
      <c r="A29" s="93">
        <v>434</v>
      </c>
      <c r="B29" s="96" t="s">
        <v>142</v>
      </c>
      <c r="C29" s="95">
        <v>2010</v>
      </c>
      <c r="D29" s="96" t="s">
        <v>143</v>
      </c>
      <c r="E29" s="96" t="s">
        <v>144</v>
      </c>
      <c r="F29" s="101">
        <v>0.78</v>
      </c>
      <c r="G29" s="103"/>
      <c r="H29" s="104"/>
      <c r="I29" s="101">
        <v>0.73</v>
      </c>
      <c r="J29" s="99">
        <f>Table336789101112131415[[#This Row],[Sched C/ County/ State]]-Table336789101112131415[[#This Row],[2025 Rate]]</f>
        <v>0.05</v>
      </c>
    </row>
    <row r="30" spans="1:10" x14ac:dyDescent="0.2">
      <c r="A30" s="93">
        <v>435</v>
      </c>
      <c r="B30" s="96" t="s">
        <v>142</v>
      </c>
      <c r="C30" s="95">
        <v>2010</v>
      </c>
      <c r="D30" s="96" t="s">
        <v>143</v>
      </c>
      <c r="E30" s="96" t="s">
        <v>144</v>
      </c>
      <c r="F30" s="101">
        <v>0.78</v>
      </c>
      <c r="G30" s="103"/>
      <c r="H30" s="104"/>
      <c r="I30" s="101">
        <v>0.73</v>
      </c>
      <c r="J30" s="99">
        <f>Table336789101112131415[[#This Row],[Sched C/ County/ State]]-Table336789101112131415[[#This Row],[2025 Rate]]</f>
        <v>0.05</v>
      </c>
    </row>
    <row r="31" spans="1:10" x14ac:dyDescent="0.2">
      <c r="A31" s="93">
        <v>436</v>
      </c>
      <c r="B31" s="96" t="s">
        <v>142</v>
      </c>
      <c r="C31" s="95">
        <v>2010</v>
      </c>
      <c r="D31" s="96" t="s">
        <v>143</v>
      </c>
      <c r="E31" s="96" t="s">
        <v>144</v>
      </c>
      <c r="F31" s="101">
        <v>0.78</v>
      </c>
      <c r="G31" s="103"/>
      <c r="H31" s="104"/>
      <c r="I31" s="101">
        <v>0.73</v>
      </c>
      <c r="J31" s="99">
        <f>Table336789101112131415[[#This Row],[Sched C/ County/ State]]-Table336789101112131415[[#This Row],[2025 Rate]]</f>
        <v>0.05</v>
      </c>
    </row>
    <row r="32" spans="1:10" x14ac:dyDescent="0.2">
      <c r="A32" s="93">
        <v>437</v>
      </c>
      <c r="B32" s="96" t="s">
        <v>142</v>
      </c>
      <c r="C32" s="95">
        <v>2010</v>
      </c>
      <c r="D32" s="96" t="s">
        <v>143</v>
      </c>
      <c r="E32" s="96" t="s">
        <v>144</v>
      </c>
      <c r="F32" s="101">
        <v>0.78</v>
      </c>
      <c r="G32" s="103"/>
      <c r="H32" s="104"/>
      <c r="I32" s="101">
        <v>0.73</v>
      </c>
      <c r="J32" s="99">
        <f>Table336789101112131415[[#This Row],[Sched C/ County/ State]]-Table336789101112131415[[#This Row],[2025 Rate]]</f>
        <v>0.05</v>
      </c>
    </row>
    <row r="33" spans="1:10" x14ac:dyDescent="0.2">
      <c r="A33" s="93">
        <v>438</v>
      </c>
      <c r="B33" s="96" t="s">
        <v>142</v>
      </c>
      <c r="C33" s="95">
        <v>2010</v>
      </c>
      <c r="D33" s="96" t="s">
        <v>143</v>
      </c>
      <c r="E33" s="96" t="s">
        <v>144</v>
      </c>
      <c r="F33" s="101">
        <v>0.78</v>
      </c>
      <c r="G33" s="103"/>
      <c r="H33" s="104"/>
      <c r="I33" s="101">
        <v>0.73</v>
      </c>
      <c r="J33" s="99">
        <f>Table336789101112131415[[#This Row],[Sched C/ County/ State]]-Table336789101112131415[[#This Row],[2025 Rate]]</f>
        <v>0.05</v>
      </c>
    </row>
    <row r="34" spans="1:10" x14ac:dyDescent="0.2">
      <c r="A34" s="93">
        <v>439</v>
      </c>
      <c r="B34" s="94" t="s">
        <v>156</v>
      </c>
      <c r="C34" s="95">
        <v>2018</v>
      </c>
      <c r="D34" s="96" t="s">
        <v>157</v>
      </c>
      <c r="E34" s="96" t="s">
        <v>158</v>
      </c>
      <c r="F34" s="101">
        <v>6.49</v>
      </c>
      <c r="G34" s="103"/>
      <c r="H34" s="104"/>
      <c r="I34" s="101">
        <v>6.07</v>
      </c>
      <c r="J34" s="99">
        <f>Table336789101112131415[[#This Row],[Sched C/ County/ State]]-Table336789101112131415[[#This Row],[2025 Rate]]</f>
        <v>0.42</v>
      </c>
    </row>
    <row r="35" spans="1:10" x14ac:dyDescent="0.2">
      <c r="A35" s="93">
        <v>440</v>
      </c>
      <c r="B35" s="94" t="s">
        <v>159</v>
      </c>
      <c r="C35" s="95">
        <v>2017</v>
      </c>
      <c r="D35" s="96" t="s">
        <v>160</v>
      </c>
      <c r="E35" s="96" t="s">
        <v>161</v>
      </c>
      <c r="F35" s="101">
        <v>0.1</v>
      </c>
      <c r="G35" s="103"/>
      <c r="H35" s="104"/>
      <c r="I35" s="101">
        <v>0.09</v>
      </c>
      <c r="J35" s="99">
        <f>Table336789101112131415[[#This Row],[Sched C/ County/ State]]-Table336789101112131415[[#This Row],[2025 Rate]]</f>
        <v>0.01</v>
      </c>
    </row>
    <row r="36" spans="1:10" x14ac:dyDescent="0.2">
      <c r="A36" s="93">
        <v>441</v>
      </c>
      <c r="B36" s="94" t="s">
        <v>159</v>
      </c>
      <c r="C36" s="95">
        <v>2017</v>
      </c>
      <c r="D36" s="96" t="s">
        <v>160</v>
      </c>
      <c r="E36" s="96" t="s">
        <v>161</v>
      </c>
      <c r="F36" s="101">
        <v>0.1</v>
      </c>
      <c r="G36" s="103"/>
      <c r="H36" s="104"/>
      <c r="I36" s="101">
        <v>0.09</v>
      </c>
      <c r="J36" s="99">
        <f>Table336789101112131415[[#This Row],[Sched C/ County/ State]]-Table336789101112131415[[#This Row],[2025 Rate]]</f>
        <v>0.01</v>
      </c>
    </row>
    <row r="37" spans="1:10" x14ac:dyDescent="0.2">
      <c r="A37" s="93">
        <v>443</v>
      </c>
      <c r="B37" s="94" t="s">
        <v>162</v>
      </c>
      <c r="C37" s="95">
        <v>2018</v>
      </c>
      <c r="D37" s="96" t="s">
        <v>152</v>
      </c>
      <c r="E37" s="96" t="s">
        <v>163</v>
      </c>
      <c r="F37" s="101">
        <v>5.9</v>
      </c>
      <c r="G37" s="103"/>
      <c r="H37" s="104"/>
      <c r="I37" s="101">
        <v>5.52</v>
      </c>
      <c r="J37" s="99">
        <f>Table336789101112131415[[#This Row],[Sched C/ County/ State]]-Table336789101112131415[[#This Row],[2025 Rate]]</f>
        <v>0.38</v>
      </c>
    </row>
    <row r="38" spans="1:10" x14ac:dyDescent="0.2">
      <c r="A38" s="93">
        <v>444</v>
      </c>
      <c r="B38" s="94" t="s">
        <v>159</v>
      </c>
      <c r="C38" s="95">
        <v>2017</v>
      </c>
      <c r="D38" s="96" t="s">
        <v>160</v>
      </c>
      <c r="E38" s="96" t="s">
        <v>164</v>
      </c>
      <c r="F38" s="101">
        <v>0.1</v>
      </c>
      <c r="G38" s="103"/>
      <c r="H38" s="104"/>
      <c r="I38" s="101">
        <v>0.09</v>
      </c>
      <c r="J38" s="99">
        <f>Table336789101112131415[[#This Row],[Sched C/ County/ State]]-Table336789101112131415[[#This Row],[2025 Rate]]</f>
        <v>0.01</v>
      </c>
    </row>
    <row r="39" spans="1:10" x14ac:dyDescent="0.2">
      <c r="A39" s="93">
        <v>445</v>
      </c>
      <c r="B39" s="94" t="s">
        <v>159</v>
      </c>
      <c r="C39" s="95">
        <v>2017</v>
      </c>
      <c r="D39" s="96" t="s">
        <v>160</v>
      </c>
      <c r="E39" s="96" t="s">
        <v>165</v>
      </c>
      <c r="F39" s="101">
        <v>0.1</v>
      </c>
      <c r="G39" s="103"/>
      <c r="H39" s="104"/>
      <c r="I39" s="101">
        <v>0.09</v>
      </c>
      <c r="J39" s="99">
        <f>Table336789101112131415[[#This Row],[Sched C/ County/ State]]-Table336789101112131415[[#This Row],[2025 Rate]]</f>
        <v>0.01</v>
      </c>
    </row>
    <row r="40" spans="1:10" x14ac:dyDescent="0.2">
      <c r="A40" s="93">
        <v>446</v>
      </c>
      <c r="B40" s="94" t="s">
        <v>147</v>
      </c>
      <c r="C40" s="95">
        <v>2018</v>
      </c>
      <c r="D40" s="96" t="s">
        <v>152</v>
      </c>
      <c r="E40" s="96" t="s">
        <v>166</v>
      </c>
      <c r="F40" s="101">
        <v>6.98</v>
      </c>
      <c r="G40" s="103"/>
      <c r="H40" s="104"/>
      <c r="I40" s="101">
        <v>6.53</v>
      </c>
      <c r="J40" s="99">
        <f>Table336789101112131415[[#This Row],[Sched C/ County/ State]]-Table336789101112131415[[#This Row],[2025 Rate]]</f>
        <v>0.45</v>
      </c>
    </row>
    <row r="41" spans="1:10" x14ac:dyDescent="0.2">
      <c r="A41" s="93">
        <v>447</v>
      </c>
      <c r="B41" s="94" t="s">
        <v>147</v>
      </c>
      <c r="C41" s="95">
        <v>2018</v>
      </c>
      <c r="D41" s="96" t="s">
        <v>152</v>
      </c>
      <c r="E41" s="96" t="s">
        <v>166</v>
      </c>
      <c r="F41" s="101">
        <v>6.98</v>
      </c>
      <c r="G41" s="103"/>
      <c r="H41" s="104"/>
      <c r="I41" s="101">
        <v>6.53</v>
      </c>
      <c r="J41" s="99">
        <f>Table336789101112131415[[#This Row],[Sched C/ County/ State]]-Table336789101112131415[[#This Row],[2025 Rate]]</f>
        <v>0.45</v>
      </c>
    </row>
    <row r="42" spans="1:10" x14ac:dyDescent="0.2">
      <c r="A42" s="93">
        <v>448</v>
      </c>
      <c r="B42" s="94" t="s">
        <v>159</v>
      </c>
      <c r="C42" s="95">
        <v>2017</v>
      </c>
      <c r="D42" s="96" t="s">
        <v>160</v>
      </c>
      <c r="E42" s="96" t="s">
        <v>161</v>
      </c>
      <c r="F42" s="101">
        <v>0.1</v>
      </c>
      <c r="G42" s="103"/>
      <c r="H42" s="104"/>
      <c r="I42" s="101">
        <v>0.09</v>
      </c>
      <c r="J42" s="99">
        <f>Table336789101112131415[[#This Row],[Sched C/ County/ State]]-Table336789101112131415[[#This Row],[2025 Rate]]</f>
        <v>0.01</v>
      </c>
    </row>
    <row r="43" spans="1:10" x14ac:dyDescent="0.2">
      <c r="A43" s="93">
        <v>449</v>
      </c>
      <c r="B43" s="94" t="s">
        <v>159</v>
      </c>
      <c r="C43" s="95">
        <v>2017</v>
      </c>
      <c r="D43" s="96" t="s">
        <v>160</v>
      </c>
      <c r="E43" s="96" t="s">
        <v>161</v>
      </c>
      <c r="F43" s="101">
        <v>0.1</v>
      </c>
      <c r="G43" s="103"/>
      <c r="H43" s="104"/>
      <c r="I43" s="101">
        <v>0.09</v>
      </c>
      <c r="J43" s="99">
        <f>Table336789101112131415[[#This Row],[Sched C/ County/ State]]-Table336789101112131415[[#This Row],[2025 Rate]]</f>
        <v>0.01</v>
      </c>
    </row>
    <row r="44" spans="1:10" x14ac:dyDescent="0.2">
      <c r="A44" s="93">
        <v>452</v>
      </c>
      <c r="B44" s="94" t="s">
        <v>167</v>
      </c>
      <c r="C44" s="95">
        <v>2018</v>
      </c>
      <c r="D44" s="96" t="s">
        <v>152</v>
      </c>
      <c r="E44" s="96" t="s">
        <v>168</v>
      </c>
      <c r="F44" s="101">
        <v>6.98</v>
      </c>
      <c r="G44" s="103"/>
      <c r="H44" s="104"/>
      <c r="I44" s="101">
        <v>6.53</v>
      </c>
      <c r="J44" s="99">
        <f>Table336789101112131415[[#This Row],[Sched C/ County/ State]]-Table336789101112131415[[#This Row],[2025 Rate]]</f>
        <v>0.45</v>
      </c>
    </row>
    <row r="45" spans="1:10" x14ac:dyDescent="0.2">
      <c r="A45" s="93">
        <v>453</v>
      </c>
      <c r="B45" s="94" t="s">
        <v>167</v>
      </c>
      <c r="C45" s="95">
        <v>2018</v>
      </c>
      <c r="D45" s="96" t="s">
        <v>152</v>
      </c>
      <c r="E45" s="96" t="s">
        <v>168</v>
      </c>
      <c r="F45" s="101">
        <v>6.98</v>
      </c>
      <c r="G45" s="103"/>
      <c r="H45" s="104"/>
      <c r="I45" s="101">
        <v>6.53</v>
      </c>
      <c r="J45" s="99">
        <f>Table336789101112131415[[#This Row],[Sched C/ County/ State]]-Table336789101112131415[[#This Row],[2025 Rate]]</f>
        <v>0.45</v>
      </c>
    </row>
    <row r="46" spans="1:10" x14ac:dyDescent="0.2">
      <c r="A46" s="93">
        <v>455</v>
      </c>
      <c r="B46" s="94" t="s">
        <v>159</v>
      </c>
      <c r="C46" s="95">
        <v>2017</v>
      </c>
      <c r="D46" s="96" t="s">
        <v>160</v>
      </c>
      <c r="E46" s="96" t="s">
        <v>161</v>
      </c>
      <c r="F46" s="101">
        <v>0.1</v>
      </c>
      <c r="G46" s="103"/>
      <c r="H46" s="104"/>
      <c r="I46" s="101">
        <v>0.09</v>
      </c>
      <c r="J46" s="99">
        <f>Table336789101112131415[[#This Row],[Sched C/ County/ State]]-Table336789101112131415[[#This Row],[2025 Rate]]</f>
        <v>0.01</v>
      </c>
    </row>
    <row r="47" spans="1:10" x14ac:dyDescent="0.2">
      <c r="A47" s="93">
        <v>456</v>
      </c>
      <c r="B47" s="94" t="s">
        <v>159</v>
      </c>
      <c r="C47" s="95">
        <v>2017</v>
      </c>
      <c r="D47" s="96" t="s">
        <v>160</v>
      </c>
      <c r="E47" s="96" t="s">
        <v>161</v>
      </c>
      <c r="F47" s="101">
        <v>0.1</v>
      </c>
      <c r="G47" s="103"/>
      <c r="H47" s="104"/>
      <c r="I47" s="101">
        <v>0.09</v>
      </c>
      <c r="J47" s="99">
        <f>Table336789101112131415[[#This Row],[Sched C/ County/ State]]-Table336789101112131415[[#This Row],[2025 Rate]]</f>
        <v>0.01</v>
      </c>
    </row>
    <row r="48" spans="1:10" x14ac:dyDescent="0.2">
      <c r="A48" s="93">
        <v>457</v>
      </c>
      <c r="B48" s="94" t="s">
        <v>159</v>
      </c>
      <c r="C48" s="95">
        <v>2017</v>
      </c>
      <c r="D48" s="96" t="s">
        <v>160</v>
      </c>
      <c r="E48" s="96" t="s">
        <v>161</v>
      </c>
      <c r="F48" s="101">
        <v>0.1</v>
      </c>
      <c r="G48" s="103"/>
      <c r="H48" s="104"/>
      <c r="I48" s="101">
        <v>0.09</v>
      </c>
      <c r="J48" s="99">
        <f>Table336789101112131415[[#This Row],[Sched C/ County/ State]]-Table336789101112131415[[#This Row],[2025 Rate]]</f>
        <v>0.01</v>
      </c>
    </row>
    <row r="49" spans="1:10" x14ac:dyDescent="0.2">
      <c r="A49" s="93">
        <v>458</v>
      </c>
      <c r="B49" s="94" t="s">
        <v>159</v>
      </c>
      <c r="C49" s="95">
        <v>2017</v>
      </c>
      <c r="D49" s="96" t="s">
        <v>160</v>
      </c>
      <c r="E49" s="96" t="s">
        <v>161</v>
      </c>
      <c r="F49" s="101">
        <v>0.1</v>
      </c>
      <c r="G49" s="103"/>
      <c r="H49" s="104"/>
      <c r="I49" s="101">
        <v>0.09</v>
      </c>
      <c r="J49" s="99">
        <f>Table336789101112131415[[#This Row],[Sched C/ County/ State]]-Table336789101112131415[[#This Row],[2025 Rate]]</f>
        <v>0.01</v>
      </c>
    </row>
    <row r="50" spans="1:10" x14ac:dyDescent="0.2">
      <c r="A50" s="93">
        <v>459</v>
      </c>
      <c r="B50" s="94" t="s">
        <v>159</v>
      </c>
      <c r="C50" s="95">
        <v>2017</v>
      </c>
      <c r="D50" s="96" t="s">
        <v>160</v>
      </c>
      <c r="E50" s="96" t="s">
        <v>161</v>
      </c>
      <c r="F50" s="101">
        <v>0.1</v>
      </c>
      <c r="G50" s="103"/>
      <c r="H50" s="104"/>
      <c r="I50" s="101">
        <v>0.09</v>
      </c>
      <c r="J50" s="99">
        <f>Table336789101112131415[[#This Row],[Sched C/ County/ State]]-Table336789101112131415[[#This Row],[2025 Rate]]</f>
        <v>0.01</v>
      </c>
    </row>
    <row r="51" spans="1:10" ht="30" x14ac:dyDescent="0.2">
      <c r="A51" s="93">
        <v>460</v>
      </c>
      <c r="B51" s="94" t="s">
        <v>169</v>
      </c>
      <c r="C51" s="95">
        <v>2018</v>
      </c>
      <c r="D51" s="96" t="s">
        <v>170</v>
      </c>
      <c r="E51" s="96" t="s">
        <v>171</v>
      </c>
      <c r="F51" s="101">
        <v>32.76</v>
      </c>
      <c r="G51" s="103"/>
      <c r="H51" s="104"/>
      <c r="I51" s="101">
        <v>30.66</v>
      </c>
      <c r="J51" s="99">
        <f>Table336789101112131415[[#This Row],[Sched C/ County/ State]]-Table336789101112131415[[#This Row],[2025 Rate]]</f>
        <v>2.1</v>
      </c>
    </row>
    <row r="52" spans="1:10" ht="30" x14ac:dyDescent="0.2">
      <c r="A52" s="93">
        <v>461</v>
      </c>
      <c r="B52" s="94" t="s">
        <v>169</v>
      </c>
      <c r="C52" s="95">
        <v>2018</v>
      </c>
      <c r="D52" s="96" t="s">
        <v>170</v>
      </c>
      <c r="E52" s="96" t="s">
        <v>171</v>
      </c>
      <c r="F52" s="101">
        <v>32.76</v>
      </c>
      <c r="G52" s="103"/>
      <c r="H52" s="104"/>
      <c r="I52" s="101">
        <v>30.66</v>
      </c>
      <c r="J52" s="99">
        <f>Table336789101112131415[[#This Row],[Sched C/ County/ State]]-Table336789101112131415[[#This Row],[2025 Rate]]</f>
        <v>2.1</v>
      </c>
    </row>
    <row r="53" spans="1:10" ht="30" x14ac:dyDescent="0.2">
      <c r="A53" s="93">
        <v>462</v>
      </c>
      <c r="B53" s="94" t="s">
        <v>169</v>
      </c>
      <c r="C53" s="95">
        <v>2018</v>
      </c>
      <c r="D53" s="96" t="s">
        <v>170</v>
      </c>
      <c r="E53" s="96" t="s">
        <v>171</v>
      </c>
      <c r="F53" s="101">
        <v>32.76</v>
      </c>
      <c r="G53" s="103"/>
      <c r="H53" s="104"/>
      <c r="I53" s="101">
        <v>30.66</v>
      </c>
      <c r="J53" s="99">
        <f>Table336789101112131415[[#This Row],[Sched C/ County/ State]]-Table336789101112131415[[#This Row],[2025 Rate]]</f>
        <v>2.1</v>
      </c>
    </row>
    <row r="54" spans="1:10" x14ac:dyDescent="0.2">
      <c r="A54" s="93">
        <v>463</v>
      </c>
      <c r="B54" s="94" t="s">
        <v>172</v>
      </c>
      <c r="C54" s="95">
        <v>2018</v>
      </c>
      <c r="D54" s="96" t="s">
        <v>173</v>
      </c>
      <c r="E54" s="96">
        <v>200</v>
      </c>
      <c r="F54" s="101">
        <v>6.98</v>
      </c>
      <c r="G54" s="103"/>
      <c r="H54" s="104"/>
      <c r="I54" s="101">
        <v>6.48</v>
      </c>
      <c r="J54" s="99">
        <f>Table336789101112131415[[#This Row],[Sched C/ County/ State]]-Table336789101112131415[[#This Row],[2025 Rate]]</f>
        <v>0.5</v>
      </c>
    </row>
    <row r="55" spans="1:10" x14ac:dyDescent="0.2">
      <c r="A55" s="93">
        <v>464</v>
      </c>
      <c r="B55" s="94" t="s">
        <v>172</v>
      </c>
      <c r="C55" s="95">
        <v>2018</v>
      </c>
      <c r="D55" s="96" t="s">
        <v>173</v>
      </c>
      <c r="E55" s="96">
        <v>200</v>
      </c>
      <c r="F55" s="101">
        <v>6.98</v>
      </c>
      <c r="G55" s="103"/>
      <c r="H55" s="104"/>
      <c r="I55" s="101">
        <v>6.48</v>
      </c>
      <c r="J55" s="99">
        <f>Table336789101112131415[[#This Row],[Sched C/ County/ State]]-Table336789101112131415[[#This Row],[2025 Rate]]</f>
        <v>0.5</v>
      </c>
    </row>
    <row r="56" spans="1:10" x14ac:dyDescent="0.2">
      <c r="A56" s="93">
        <v>465</v>
      </c>
      <c r="B56" s="94" t="s">
        <v>174</v>
      </c>
      <c r="C56" s="95">
        <v>2018</v>
      </c>
      <c r="D56" s="96" t="s">
        <v>175</v>
      </c>
      <c r="F56" s="101">
        <v>0.59</v>
      </c>
      <c r="G56" s="103"/>
      <c r="H56" s="104"/>
      <c r="I56" s="101">
        <v>0.55000000000000004</v>
      </c>
      <c r="J56" s="99">
        <f>Table336789101112131415[[#This Row],[Sched C/ County/ State]]-Table336789101112131415[[#This Row],[2025 Rate]]</f>
        <v>0.04</v>
      </c>
    </row>
    <row r="57" spans="1:10" ht="30" x14ac:dyDescent="0.2">
      <c r="A57" s="93">
        <v>466</v>
      </c>
      <c r="B57" s="94" t="s">
        <v>169</v>
      </c>
      <c r="C57" s="95">
        <v>2018</v>
      </c>
      <c r="D57" s="96" t="s">
        <v>170</v>
      </c>
      <c r="E57" s="96" t="s">
        <v>171</v>
      </c>
      <c r="F57" s="101">
        <v>32.76</v>
      </c>
      <c r="G57" s="103"/>
      <c r="H57" s="104"/>
      <c r="I57" s="101">
        <v>30.66</v>
      </c>
      <c r="J57" s="99">
        <f>Table336789101112131415[[#This Row],[Sched C/ County/ State]]-Table336789101112131415[[#This Row],[2025 Rate]]</f>
        <v>2.1</v>
      </c>
    </row>
    <row r="58" spans="1:10" x14ac:dyDescent="0.2">
      <c r="A58" s="93">
        <v>467</v>
      </c>
      <c r="B58" s="94" t="s">
        <v>176</v>
      </c>
      <c r="C58" s="95">
        <v>2018</v>
      </c>
      <c r="D58" s="96" t="s">
        <v>177</v>
      </c>
      <c r="E58" s="96" t="s">
        <v>178</v>
      </c>
      <c r="F58" s="101">
        <v>6.47</v>
      </c>
      <c r="G58" s="103"/>
      <c r="H58" s="104"/>
      <c r="I58" s="101">
        <v>6.05</v>
      </c>
      <c r="J58" s="99">
        <f>Table336789101112131415[[#This Row],[Sched C/ County/ State]]-Table336789101112131415[[#This Row],[2025 Rate]]</f>
        <v>0.42</v>
      </c>
    </row>
    <row r="59" spans="1:10" x14ac:dyDescent="0.2">
      <c r="A59" s="93">
        <v>468</v>
      </c>
      <c r="B59" s="94" t="s">
        <v>176</v>
      </c>
      <c r="C59" s="95">
        <v>2019</v>
      </c>
      <c r="D59" s="96" t="s">
        <v>179</v>
      </c>
      <c r="E59" s="96" t="s">
        <v>180</v>
      </c>
      <c r="F59" s="101">
        <v>5.12</v>
      </c>
      <c r="G59" s="103"/>
      <c r="H59" s="104"/>
      <c r="I59" s="101">
        <v>4.75</v>
      </c>
      <c r="J59" s="99">
        <f>Table336789101112131415[[#This Row],[Sched C/ County/ State]]-Table336789101112131415[[#This Row],[2025 Rate]]</f>
        <v>0.37</v>
      </c>
    </row>
    <row r="60" spans="1:10" ht="30" x14ac:dyDescent="0.2">
      <c r="A60" s="93">
        <v>469</v>
      </c>
      <c r="B60" s="94" t="s">
        <v>181</v>
      </c>
      <c r="C60" s="95">
        <v>2019</v>
      </c>
      <c r="D60" s="96" t="s">
        <v>182</v>
      </c>
      <c r="E60" s="96" t="s">
        <v>183</v>
      </c>
      <c r="F60" s="101">
        <v>50.11</v>
      </c>
      <c r="G60" s="103"/>
      <c r="H60" s="104"/>
      <c r="I60" s="101">
        <v>46.89</v>
      </c>
      <c r="J60" s="99">
        <f>Table336789101112131415[[#This Row],[Sched C/ County/ State]]-Table336789101112131415[[#This Row],[2025 Rate]]</f>
        <v>3.22</v>
      </c>
    </row>
    <row r="61" spans="1:10" x14ac:dyDescent="0.2">
      <c r="A61" s="93">
        <v>470</v>
      </c>
      <c r="B61" s="94" t="s">
        <v>184</v>
      </c>
      <c r="C61" s="95">
        <v>2018</v>
      </c>
      <c r="D61" s="96" t="s">
        <v>185</v>
      </c>
      <c r="E61" s="96" t="s">
        <v>186</v>
      </c>
      <c r="F61" s="101">
        <v>0.38</v>
      </c>
      <c r="G61" s="103"/>
      <c r="H61" s="104"/>
      <c r="I61" s="101">
        <v>0.36</v>
      </c>
      <c r="J61" s="99">
        <f>Table336789101112131415[[#This Row],[Sched C/ County/ State]]-Table336789101112131415[[#This Row],[2025 Rate]]</f>
        <v>0.02</v>
      </c>
    </row>
    <row r="62" spans="1:10" x14ac:dyDescent="0.2">
      <c r="A62" s="93">
        <v>471</v>
      </c>
      <c r="B62" s="94" t="s">
        <v>184</v>
      </c>
      <c r="C62" s="95">
        <v>2018</v>
      </c>
      <c r="D62" s="96" t="s">
        <v>185</v>
      </c>
      <c r="E62" s="96" t="s">
        <v>186</v>
      </c>
      <c r="F62" s="101">
        <v>0.38</v>
      </c>
      <c r="G62" s="103"/>
      <c r="H62" s="104"/>
      <c r="I62" s="101">
        <v>0.36</v>
      </c>
      <c r="J62" s="99">
        <f>Table336789101112131415[[#This Row],[Sched C/ County/ State]]-Table336789101112131415[[#This Row],[2025 Rate]]</f>
        <v>0.02</v>
      </c>
    </row>
    <row r="63" spans="1:10" x14ac:dyDescent="0.2">
      <c r="A63" s="93">
        <v>472</v>
      </c>
      <c r="B63" s="94" t="s">
        <v>184</v>
      </c>
      <c r="C63" s="95">
        <v>2018</v>
      </c>
      <c r="D63" s="96" t="s">
        <v>185</v>
      </c>
      <c r="E63" s="96" t="s">
        <v>186</v>
      </c>
      <c r="F63" s="101">
        <v>0.38</v>
      </c>
      <c r="G63" s="103"/>
      <c r="H63" s="104"/>
      <c r="I63" s="101">
        <v>0.36</v>
      </c>
      <c r="J63" s="99">
        <f>Table336789101112131415[[#This Row],[Sched C/ County/ State]]-Table336789101112131415[[#This Row],[2025 Rate]]</f>
        <v>0.02</v>
      </c>
    </row>
    <row r="64" spans="1:10" x14ac:dyDescent="0.2">
      <c r="A64" s="93">
        <v>473</v>
      </c>
      <c r="B64" s="94" t="s">
        <v>184</v>
      </c>
      <c r="C64" s="95">
        <v>2018</v>
      </c>
      <c r="D64" s="96" t="s">
        <v>185</v>
      </c>
      <c r="E64" s="96" t="s">
        <v>186</v>
      </c>
      <c r="F64" s="101">
        <v>0.38</v>
      </c>
      <c r="G64" s="103"/>
      <c r="H64" s="104"/>
      <c r="I64" s="101">
        <v>0.36</v>
      </c>
      <c r="J64" s="99">
        <f>Table336789101112131415[[#This Row],[Sched C/ County/ State]]-Table336789101112131415[[#This Row],[2025 Rate]]</f>
        <v>0.02</v>
      </c>
    </row>
    <row r="65" spans="1:10" x14ac:dyDescent="0.2">
      <c r="A65" s="93">
        <v>474</v>
      </c>
      <c r="B65" s="94" t="s">
        <v>187</v>
      </c>
      <c r="C65" s="95">
        <v>2019</v>
      </c>
      <c r="D65" s="96" t="s">
        <v>170</v>
      </c>
      <c r="F65" s="101">
        <v>3.05</v>
      </c>
      <c r="G65" s="103"/>
      <c r="H65" s="104"/>
      <c r="I65" s="101">
        <v>2.85</v>
      </c>
      <c r="J65" s="99">
        <f>Table336789101112131415[[#This Row],[Sched C/ County/ State]]-Table336789101112131415[[#This Row],[2025 Rate]]</f>
        <v>0.2</v>
      </c>
    </row>
    <row r="66" spans="1:10" x14ac:dyDescent="0.2">
      <c r="A66" s="93">
        <v>475</v>
      </c>
      <c r="B66" s="94" t="s">
        <v>184</v>
      </c>
      <c r="C66" s="95">
        <v>2018</v>
      </c>
      <c r="D66" s="96" t="s">
        <v>185</v>
      </c>
      <c r="E66" s="96" t="s">
        <v>186</v>
      </c>
      <c r="F66" s="101">
        <v>0.38</v>
      </c>
      <c r="G66" s="103"/>
      <c r="H66" s="104"/>
      <c r="I66" s="101">
        <v>0.36</v>
      </c>
      <c r="J66" s="99">
        <f>Table336789101112131415[[#This Row],[Sched C/ County/ State]]-Table336789101112131415[[#This Row],[2025 Rate]]</f>
        <v>0.02</v>
      </c>
    </row>
    <row r="67" spans="1:10" x14ac:dyDescent="0.2">
      <c r="A67" s="93">
        <v>476</v>
      </c>
      <c r="B67" s="94" t="s">
        <v>184</v>
      </c>
      <c r="C67" s="95">
        <v>2018</v>
      </c>
      <c r="D67" s="96" t="s">
        <v>185</v>
      </c>
      <c r="E67" s="96" t="s">
        <v>186</v>
      </c>
      <c r="F67" s="101">
        <v>0.38</v>
      </c>
      <c r="G67" s="103"/>
      <c r="H67" s="104"/>
      <c r="I67" s="101">
        <v>0.36</v>
      </c>
      <c r="J67" s="99">
        <f>Table336789101112131415[[#This Row],[Sched C/ County/ State]]-Table336789101112131415[[#This Row],[2025 Rate]]</f>
        <v>0.02</v>
      </c>
    </row>
    <row r="68" spans="1:10" x14ac:dyDescent="0.2">
      <c r="A68" s="93">
        <v>477</v>
      </c>
      <c r="B68" s="94" t="s">
        <v>187</v>
      </c>
      <c r="C68" s="95">
        <v>2019</v>
      </c>
      <c r="D68" s="96" t="s">
        <v>188</v>
      </c>
      <c r="E68" s="107" t="s">
        <v>189</v>
      </c>
      <c r="F68" s="101">
        <v>3.05</v>
      </c>
      <c r="G68" s="103"/>
      <c r="H68" s="104"/>
      <c r="I68" s="101">
        <v>2.85</v>
      </c>
      <c r="J68" s="99">
        <f>Table336789101112131415[[#This Row],[Sched C/ County/ State]]-Table336789101112131415[[#This Row],[2025 Rate]]</f>
        <v>0.2</v>
      </c>
    </row>
    <row r="69" spans="1:10" x14ac:dyDescent="0.2">
      <c r="A69" s="93">
        <v>478</v>
      </c>
      <c r="B69" s="94" t="s">
        <v>187</v>
      </c>
      <c r="C69" s="95">
        <v>2019</v>
      </c>
      <c r="D69" s="96" t="s">
        <v>170</v>
      </c>
      <c r="F69" s="101">
        <v>3.05</v>
      </c>
      <c r="G69" s="103"/>
      <c r="H69" s="104"/>
      <c r="I69" s="101">
        <v>2.85</v>
      </c>
      <c r="J69" s="99">
        <f>Table336789101112131415[[#This Row],[Sched C/ County/ State]]-Table336789101112131415[[#This Row],[2025 Rate]]</f>
        <v>0.2</v>
      </c>
    </row>
    <row r="70" spans="1:10" x14ac:dyDescent="0.2">
      <c r="A70" s="93">
        <v>479</v>
      </c>
      <c r="B70" s="94" t="s">
        <v>187</v>
      </c>
      <c r="C70" s="95">
        <v>2019</v>
      </c>
      <c r="F70" s="101">
        <v>3.05</v>
      </c>
      <c r="G70" s="103"/>
      <c r="H70" s="104"/>
      <c r="I70" s="101">
        <v>2.85</v>
      </c>
      <c r="J70" s="99">
        <f>Table336789101112131415[[#This Row],[Sched C/ County/ State]]-Table336789101112131415[[#This Row],[2025 Rate]]</f>
        <v>0.2</v>
      </c>
    </row>
    <row r="71" spans="1:10" ht="30" x14ac:dyDescent="0.2">
      <c r="A71" s="93">
        <v>480</v>
      </c>
      <c r="B71" s="94" t="s">
        <v>190</v>
      </c>
      <c r="C71" s="95">
        <v>2019</v>
      </c>
      <c r="D71" s="96" t="s">
        <v>191</v>
      </c>
      <c r="E71" s="96" t="s">
        <v>192</v>
      </c>
      <c r="F71" s="101">
        <v>1.63</v>
      </c>
      <c r="G71" s="103"/>
      <c r="H71" s="104"/>
      <c r="I71" s="101">
        <v>1.51</v>
      </c>
      <c r="J71" s="99">
        <f>Table336789101112131415[[#This Row],[Sched C/ County/ State]]-Table336789101112131415[[#This Row],[2025 Rate]]</f>
        <v>0.12</v>
      </c>
    </row>
    <row r="72" spans="1:10" x14ac:dyDescent="0.2">
      <c r="A72" s="93">
        <v>482</v>
      </c>
      <c r="B72" s="94" t="s">
        <v>193</v>
      </c>
      <c r="C72" s="95">
        <v>2024</v>
      </c>
      <c r="D72" s="96" t="s">
        <v>194</v>
      </c>
      <c r="E72" s="96" t="s">
        <v>195</v>
      </c>
      <c r="F72" s="101">
        <v>5.12</v>
      </c>
      <c r="G72" s="105"/>
      <c r="H72" s="103"/>
      <c r="I72" s="101">
        <v>4.75</v>
      </c>
      <c r="J72" s="99">
        <f>Table336789101112131415[[#This Row],[Sched C/ County/ State]]-Table336789101112131415[[#This Row],[2025 Rate]]</f>
        <v>0.37</v>
      </c>
    </row>
    <row r="73" spans="1:10" x14ac:dyDescent="0.2">
      <c r="A73" s="93">
        <v>483</v>
      </c>
      <c r="B73" s="94" t="s">
        <v>193</v>
      </c>
      <c r="C73" s="95">
        <v>2020</v>
      </c>
      <c r="D73" s="96" t="s">
        <v>194</v>
      </c>
      <c r="E73" s="96" t="s">
        <v>196</v>
      </c>
      <c r="F73" s="101">
        <v>2.4500000000000002</v>
      </c>
      <c r="G73" s="103"/>
      <c r="H73" s="104"/>
      <c r="I73" s="101">
        <v>2.29</v>
      </c>
      <c r="J73" s="99">
        <f>Table336789101112131415[[#This Row],[Sched C/ County/ State]]-Table336789101112131415[[#This Row],[2025 Rate]]</f>
        <v>0.16</v>
      </c>
    </row>
    <row r="74" spans="1:10" x14ac:dyDescent="0.2">
      <c r="A74" s="93">
        <v>484</v>
      </c>
      <c r="B74" s="94" t="s">
        <v>197</v>
      </c>
      <c r="C74" s="95">
        <v>2019</v>
      </c>
      <c r="D74" s="96" t="s">
        <v>198</v>
      </c>
      <c r="E74" s="96" t="s">
        <v>199</v>
      </c>
      <c r="F74" s="101">
        <v>0.56999999999999995</v>
      </c>
      <c r="G74" s="103"/>
      <c r="H74" s="104"/>
      <c r="I74" s="101">
        <v>0.53</v>
      </c>
      <c r="J74" s="99">
        <f>Table336789101112131415[[#This Row],[Sched C/ County/ State]]-Table336789101112131415[[#This Row],[2025 Rate]]</f>
        <v>0.04</v>
      </c>
    </row>
    <row r="75" spans="1:10" x14ac:dyDescent="0.2">
      <c r="A75" s="93">
        <v>485</v>
      </c>
      <c r="B75" s="94" t="s">
        <v>200</v>
      </c>
      <c r="C75" s="95">
        <v>2020</v>
      </c>
      <c r="D75" s="96" t="s">
        <v>148</v>
      </c>
      <c r="E75" s="96" t="s">
        <v>201</v>
      </c>
      <c r="F75" s="101">
        <v>20.43</v>
      </c>
      <c r="G75" s="103"/>
      <c r="H75" s="104"/>
      <c r="I75" s="101">
        <v>19.12</v>
      </c>
      <c r="J75" s="99">
        <f>Table336789101112131415[[#This Row],[Sched C/ County/ State]]-Table336789101112131415[[#This Row],[2025 Rate]]</f>
        <v>1.31</v>
      </c>
    </row>
    <row r="76" spans="1:10" x14ac:dyDescent="0.2">
      <c r="A76" s="93">
        <v>486</v>
      </c>
      <c r="B76" s="94" t="s">
        <v>200</v>
      </c>
      <c r="C76" s="95">
        <v>2020</v>
      </c>
      <c r="D76" s="96" t="s">
        <v>148</v>
      </c>
      <c r="E76" s="96" t="s">
        <v>201</v>
      </c>
      <c r="F76" s="101">
        <v>20.43</v>
      </c>
      <c r="G76" s="103"/>
      <c r="H76" s="104"/>
      <c r="I76" s="101">
        <v>19.12</v>
      </c>
      <c r="J76" s="99">
        <f>Table336789101112131415[[#This Row],[Sched C/ County/ State]]-Table336789101112131415[[#This Row],[2025 Rate]]</f>
        <v>1.31</v>
      </c>
    </row>
    <row r="77" spans="1:10" x14ac:dyDescent="0.2">
      <c r="A77" s="93">
        <v>487</v>
      </c>
      <c r="B77" s="94" t="s">
        <v>162</v>
      </c>
      <c r="C77" s="95">
        <v>2020</v>
      </c>
      <c r="D77" s="96" t="s">
        <v>152</v>
      </c>
      <c r="E77" s="96" t="s">
        <v>202</v>
      </c>
      <c r="F77" s="101">
        <v>5.9</v>
      </c>
      <c r="G77" s="103"/>
      <c r="H77" s="104"/>
      <c r="I77" s="101">
        <v>5.52</v>
      </c>
      <c r="J77" s="99">
        <f>Table336789101112131415[[#This Row],[Sched C/ County/ State]]-Table336789101112131415[[#This Row],[2025 Rate]]</f>
        <v>0.38</v>
      </c>
    </row>
    <row r="78" spans="1:10" ht="30" x14ac:dyDescent="0.2">
      <c r="A78" s="93">
        <v>488</v>
      </c>
      <c r="B78" s="94" t="s">
        <v>203</v>
      </c>
      <c r="C78" s="95">
        <v>2019</v>
      </c>
      <c r="D78" s="96" t="s">
        <v>204</v>
      </c>
      <c r="E78" s="96" t="s">
        <v>192</v>
      </c>
      <c r="F78" s="101">
        <v>1.63</v>
      </c>
      <c r="G78" s="103"/>
      <c r="H78" s="104"/>
      <c r="I78" s="101">
        <v>1.51</v>
      </c>
      <c r="J78" s="99">
        <f>Table336789101112131415[[#This Row],[Sched C/ County/ State]]-Table336789101112131415[[#This Row],[2025 Rate]]</f>
        <v>0.12</v>
      </c>
    </row>
    <row r="79" spans="1:10" ht="30" x14ac:dyDescent="0.2">
      <c r="A79" s="93">
        <v>489</v>
      </c>
      <c r="B79" s="94" t="s">
        <v>203</v>
      </c>
      <c r="C79" s="95">
        <v>2019</v>
      </c>
      <c r="D79" s="96" t="s">
        <v>205</v>
      </c>
      <c r="E79" s="96" t="s">
        <v>192</v>
      </c>
      <c r="F79" s="101">
        <v>1.63</v>
      </c>
      <c r="G79" s="103"/>
      <c r="H79" s="104"/>
      <c r="I79" s="101">
        <v>1.51</v>
      </c>
      <c r="J79" s="99">
        <f>Table336789101112131415[[#This Row],[Sched C/ County/ State]]-Table336789101112131415[[#This Row],[2025 Rate]]</f>
        <v>0.12</v>
      </c>
    </row>
    <row r="80" spans="1:10" ht="30" x14ac:dyDescent="0.2">
      <c r="A80" s="93">
        <v>490</v>
      </c>
      <c r="B80" s="96" t="s">
        <v>206</v>
      </c>
      <c r="C80" s="95">
        <v>2014</v>
      </c>
      <c r="D80" s="96" t="s">
        <v>205</v>
      </c>
      <c r="F80" s="101">
        <v>8.82</v>
      </c>
      <c r="G80" s="103"/>
      <c r="H80" s="104"/>
      <c r="I80" s="101">
        <v>8.25</v>
      </c>
      <c r="J80" s="99">
        <f>Table336789101112131415[[#This Row],[Sched C/ County/ State]]-Table336789101112131415[[#This Row],[2025 Rate]]</f>
        <v>0.56999999999999995</v>
      </c>
    </row>
    <row r="81" spans="1:10" ht="30" x14ac:dyDescent="0.2">
      <c r="A81" s="93">
        <v>491</v>
      </c>
      <c r="B81" s="94" t="s">
        <v>206</v>
      </c>
      <c r="C81" s="95">
        <v>2015</v>
      </c>
      <c r="D81" s="96" t="s">
        <v>205</v>
      </c>
      <c r="F81" s="101">
        <v>8.82</v>
      </c>
      <c r="G81" s="105"/>
      <c r="H81" s="106"/>
      <c r="I81" s="101">
        <v>8.25</v>
      </c>
      <c r="J81" s="99">
        <f>Table336789101112131415[[#This Row],[Sched C/ County/ State]]-Table336789101112131415[[#This Row],[2025 Rate]]</f>
        <v>0.56999999999999995</v>
      </c>
    </row>
    <row r="82" spans="1:10" x14ac:dyDescent="0.2">
      <c r="A82" s="93">
        <v>492</v>
      </c>
      <c r="B82" s="94" t="s">
        <v>184</v>
      </c>
      <c r="C82" s="95">
        <v>2016</v>
      </c>
      <c r="D82" s="96" t="s">
        <v>185</v>
      </c>
      <c r="F82" s="101">
        <v>0.38</v>
      </c>
      <c r="G82" s="105"/>
      <c r="H82" s="106"/>
      <c r="I82" s="101">
        <v>0.36</v>
      </c>
      <c r="J82" s="99">
        <f>Table336789101112131415[[#This Row],[Sched C/ County/ State]]-Table336789101112131415[[#This Row],[2025 Rate]]</f>
        <v>0.02</v>
      </c>
    </row>
    <row r="83" spans="1:10" x14ac:dyDescent="0.2">
      <c r="A83" s="93">
        <v>493</v>
      </c>
      <c r="B83" s="94" t="s">
        <v>184</v>
      </c>
      <c r="C83" s="95">
        <v>2016</v>
      </c>
      <c r="D83" s="96" t="s">
        <v>185</v>
      </c>
      <c r="F83" s="101">
        <v>0.38</v>
      </c>
      <c r="G83" s="105"/>
      <c r="H83" s="106"/>
      <c r="I83" s="101">
        <v>0.34</v>
      </c>
      <c r="J83" s="99">
        <f>Table336789101112131415[[#This Row],[Sched C/ County/ State]]-Table336789101112131415[[#This Row],[2025 Rate]]</f>
        <v>0.04</v>
      </c>
    </row>
    <row r="84" spans="1:10" x14ac:dyDescent="0.2">
      <c r="A84" s="93">
        <v>494</v>
      </c>
      <c r="B84" s="94" t="s">
        <v>184</v>
      </c>
      <c r="C84" s="95">
        <v>2016</v>
      </c>
      <c r="D84" s="96" t="s">
        <v>185</v>
      </c>
      <c r="F84" s="101">
        <v>0.38</v>
      </c>
      <c r="G84" s="105"/>
      <c r="H84" s="106"/>
      <c r="I84" s="101">
        <v>0.36</v>
      </c>
      <c r="J84" s="99">
        <f>Table336789101112131415[[#This Row],[Sched C/ County/ State]]-Table336789101112131415[[#This Row],[2025 Rate]]</f>
        <v>0.02</v>
      </c>
    </row>
    <row r="85" spans="1:10" x14ac:dyDescent="0.2">
      <c r="A85" s="93">
        <v>495</v>
      </c>
      <c r="B85" s="94" t="s">
        <v>184</v>
      </c>
      <c r="C85" s="95">
        <v>2016</v>
      </c>
      <c r="D85" s="96" t="s">
        <v>185</v>
      </c>
      <c r="F85" s="101">
        <v>0.38</v>
      </c>
      <c r="G85" s="105"/>
      <c r="H85" s="106"/>
      <c r="I85" s="101">
        <v>0.36</v>
      </c>
      <c r="J85" s="99">
        <f>Table336789101112131415[[#This Row],[Sched C/ County/ State]]-Table336789101112131415[[#This Row],[2025 Rate]]</f>
        <v>0.02</v>
      </c>
    </row>
    <row r="86" spans="1:10" x14ac:dyDescent="0.2">
      <c r="A86" s="93">
        <v>496</v>
      </c>
      <c r="B86" s="94" t="s">
        <v>184</v>
      </c>
      <c r="C86" s="95">
        <v>2016</v>
      </c>
      <c r="D86" s="96" t="s">
        <v>185</v>
      </c>
      <c r="F86" s="101">
        <v>0.38</v>
      </c>
      <c r="G86" s="105"/>
      <c r="H86" s="106"/>
      <c r="I86" s="101">
        <v>0.36</v>
      </c>
      <c r="J86" s="99">
        <f>Table336789101112131415[[#This Row],[Sched C/ County/ State]]-Table336789101112131415[[#This Row],[2025 Rate]]</f>
        <v>0.02</v>
      </c>
    </row>
    <row r="87" spans="1:10" x14ac:dyDescent="0.2">
      <c r="A87" s="93">
        <v>497</v>
      </c>
      <c r="B87" s="94" t="s">
        <v>184</v>
      </c>
      <c r="C87" s="95">
        <v>2016</v>
      </c>
      <c r="D87" s="96" t="s">
        <v>185</v>
      </c>
      <c r="F87" s="101">
        <v>0.38</v>
      </c>
      <c r="G87" s="105"/>
      <c r="H87" s="106"/>
      <c r="I87" s="101">
        <v>0.36</v>
      </c>
      <c r="J87" s="99">
        <f>Table336789101112131415[[#This Row],[Sched C/ County/ State]]-Table336789101112131415[[#This Row],[2025 Rate]]</f>
        <v>0.02</v>
      </c>
    </row>
    <row r="88" spans="1:10" ht="30" x14ac:dyDescent="0.2">
      <c r="A88" s="93">
        <v>498</v>
      </c>
      <c r="B88" s="94" t="s">
        <v>207</v>
      </c>
      <c r="C88" s="95">
        <v>2018</v>
      </c>
      <c r="D88" s="96" t="s">
        <v>208</v>
      </c>
      <c r="E88" s="96" t="s">
        <v>209</v>
      </c>
      <c r="F88" s="101">
        <v>47.8</v>
      </c>
      <c r="G88" s="103"/>
      <c r="H88" s="104"/>
      <c r="I88" s="101">
        <v>44.06</v>
      </c>
      <c r="J88" s="99">
        <f>Table336789101112131415[[#This Row],[Sched C/ County/ State]]-Table336789101112131415[[#This Row],[2025 Rate]]</f>
        <v>3.74</v>
      </c>
    </row>
    <row r="89" spans="1:10" ht="30" x14ac:dyDescent="0.2">
      <c r="A89" s="93">
        <v>499</v>
      </c>
      <c r="B89" s="96" t="s">
        <v>206</v>
      </c>
      <c r="C89" s="95">
        <v>2014</v>
      </c>
      <c r="D89" s="96" t="s">
        <v>205</v>
      </c>
      <c r="F89" s="101">
        <v>8.82</v>
      </c>
      <c r="G89" s="103"/>
      <c r="H89" s="104"/>
      <c r="I89" s="101">
        <v>8.25</v>
      </c>
      <c r="J89" s="99">
        <f>Table336789101112131415[[#This Row],[Sched C/ County/ State]]-Table336789101112131415[[#This Row],[2025 Rate]]</f>
        <v>0.56999999999999995</v>
      </c>
    </row>
    <row r="90" spans="1:10" x14ac:dyDescent="0.2">
      <c r="A90" s="93">
        <v>500</v>
      </c>
      <c r="B90" s="94" t="s">
        <v>210</v>
      </c>
      <c r="C90" s="95">
        <v>2020</v>
      </c>
      <c r="D90" s="96" t="s">
        <v>211</v>
      </c>
      <c r="E90" s="96" t="s">
        <v>212</v>
      </c>
      <c r="F90" s="101">
        <v>15.13</v>
      </c>
      <c r="G90" s="103">
        <f>Table336789101112131415[[#This Row],[Sched C/ County/ State]]+0.3</f>
        <v>15.43</v>
      </c>
      <c r="H90" s="104"/>
      <c r="I90" s="101">
        <v>14.16</v>
      </c>
      <c r="J90" s="99">
        <f>Table336789101112131415[[#This Row],[Sched C/ County/ State]]-Table336789101112131415[[#This Row],[2025 Rate]]</f>
        <v>0.97</v>
      </c>
    </row>
    <row r="91" spans="1:10" x14ac:dyDescent="0.2">
      <c r="A91" s="93">
        <v>525</v>
      </c>
      <c r="B91" s="96" t="s">
        <v>213</v>
      </c>
      <c r="C91" s="95">
        <v>2012</v>
      </c>
      <c r="D91" s="96" t="s">
        <v>214</v>
      </c>
      <c r="E91" s="96" t="s">
        <v>215</v>
      </c>
      <c r="F91" s="101">
        <v>16.07</v>
      </c>
      <c r="G91" s="103">
        <f>Table336789101112131415[[#This Row],[Sched C/ County/ State]]+0.3</f>
        <v>16.37</v>
      </c>
      <c r="H91" s="104"/>
      <c r="I91" s="101">
        <v>14.91</v>
      </c>
      <c r="J91" s="99">
        <f>Table336789101112131415[[#This Row],[Sched C/ County/ State]]-Table336789101112131415[[#This Row],[2025 Rate]]</f>
        <v>1.1599999999999999</v>
      </c>
    </row>
    <row r="92" spans="1:10" x14ac:dyDescent="0.2">
      <c r="A92" s="93">
        <v>527</v>
      </c>
      <c r="B92" s="94" t="s">
        <v>210</v>
      </c>
      <c r="C92" s="95">
        <v>2017</v>
      </c>
      <c r="D92" s="96" t="s">
        <v>211</v>
      </c>
      <c r="E92" s="96" t="s">
        <v>216</v>
      </c>
      <c r="F92" s="101">
        <v>15.13</v>
      </c>
      <c r="G92" s="103">
        <f>Table336789101112131415[[#This Row],[Sched C/ County/ State]]+0.3</f>
        <v>15.43</v>
      </c>
      <c r="H92" s="106"/>
      <c r="I92" s="101">
        <v>14.16</v>
      </c>
      <c r="J92" s="99">
        <f>Table336789101112131415[[#This Row],[Sched C/ County/ State]]-Table336789101112131415[[#This Row],[2025 Rate]]</f>
        <v>0.97</v>
      </c>
    </row>
    <row r="93" spans="1:10" x14ac:dyDescent="0.2">
      <c r="A93" s="93">
        <v>528</v>
      </c>
      <c r="B93" s="94" t="s">
        <v>210</v>
      </c>
      <c r="C93" s="95">
        <v>2017</v>
      </c>
      <c r="D93" s="96" t="s">
        <v>211</v>
      </c>
      <c r="E93" s="96" t="s">
        <v>216</v>
      </c>
      <c r="F93" s="101">
        <v>15.13</v>
      </c>
      <c r="G93" s="103">
        <f>Table336789101112131415[[#This Row],[Sched C/ County/ State]]+0.3</f>
        <v>15.43</v>
      </c>
      <c r="H93" s="104"/>
      <c r="I93" s="101">
        <v>14.16</v>
      </c>
      <c r="J93" s="99">
        <f>Table336789101112131415[[#This Row],[Sched C/ County/ State]]-Table336789101112131415[[#This Row],[2025 Rate]]</f>
        <v>0.97</v>
      </c>
    </row>
    <row r="94" spans="1:10" x14ac:dyDescent="0.2">
      <c r="A94" s="93">
        <v>561</v>
      </c>
      <c r="B94" s="94" t="s">
        <v>217</v>
      </c>
      <c r="C94" s="95">
        <v>2019</v>
      </c>
      <c r="D94" s="96" t="s">
        <v>217</v>
      </c>
      <c r="E94" s="96" t="s">
        <v>218</v>
      </c>
      <c r="F94" s="101">
        <v>60.18</v>
      </c>
      <c r="G94" s="103"/>
      <c r="H94" s="104"/>
      <c r="I94" s="101">
        <v>56.32</v>
      </c>
      <c r="J94" s="99">
        <f>Table336789101112131415[[#This Row],[Sched C/ County/ State]]-Table336789101112131415[[#This Row],[2025 Rate]]</f>
        <v>3.86</v>
      </c>
    </row>
    <row r="95" spans="1:10" x14ac:dyDescent="0.2">
      <c r="A95" s="93">
        <v>562</v>
      </c>
      <c r="B95" s="94" t="s">
        <v>217</v>
      </c>
      <c r="C95" s="95">
        <v>2023</v>
      </c>
      <c r="D95" s="96" t="s">
        <v>217</v>
      </c>
      <c r="E95" s="96" t="s">
        <v>219</v>
      </c>
      <c r="F95" s="101">
        <v>60.18</v>
      </c>
      <c r="G95" s="105"/>
      <c r="H95" s="104"/>
      <c r="I95" s="101">
        <v>56.32</v>
      </c>
      <c r="J95" s="99">
        <f>Table336789101112131415[[#This Row],[Sched C/ County/ State]]-Table336789101112131415[[#This Row],[2025 Rate]]</f>
        <v>3.86</v>
      </c>
    </row>
    <row r="96" spans="1:10" x14ac:dyDescent="0.2">
      <c r="A96" s="93">
        <v>563</v>
      </c>
      <c r="B96" s="94" t="s">
        <v>220</v>
      </c>
      <c r="C96" s="95">
        <v>2019</v>
      </c>
      <c r="D96" s="96" t="s">
        <v>221</v>
      </c>
      <c r="E96" s="96" t="s">
        <v>222</v>
      </c>
      <c r="F96" s="101">
        <v>18.04</v>
      </c>
      <c r="G96" s="103"/>
      <c r="H96" s="104"/>
      <c r="I96" s="101">
        <v>16.88</v>
      </c>
      <c r="J96" s="99">
        <f>Table336789101112131415[[#This Row],[Sched C/ County/ State]]-Table336789101112131415[[#This Row],[2025 Rate]]</f>
        <v>1.1599999999999999</v>
      </c>
    </row>
    <row r="97" spans="1:10" x14ac:dyDescent="0.2">
      <c r="A97" s="93">
        <v>571</v>
      </c>
      <c r="B97" s="94" t="s">
        <v>174</v>
      </c>
      <c r="C97" s="95">
        <v>2018</v>
      </c>
      <c r="D97" s="96" t="s">
        <v>170</v>
      </c>
      <c r="E97" s="96" t="s">
        <v>223</v>
      </c>
      <c r="F97" s="101">
        <v>0.59</v>
      </c>
      <c r="G97" s="103"/>
      <c r="H97" s="104"/>
      <c r="I97" s="101">
        <v>0.55000000000000004</v>
      </c>
      <c r="J97" s="99">
        <f>Table336789101112131415[[#This Row],[Sched C/ County/ State]]-Table336789101112131415[[#This Row],[2025 Rate]]</f>
        <v>0.04</v>
      </c>
    </row>
    <row r="98" spans="1:10" x14ac:dyDescent="0.2">
      <c r="A98" s="93">
        <v>577</v>
      </c>
      <c r="B98" s="94" t="s">
        <v>174</v>
      </c>
      <c r="C98" s="95">
        <v>2019</v>
      </c>
      <c r="D98" s="96" t="s">
        <v>170</v>
      </c>
      <c r="E98" s="96" t="s">
        <v>224</v>
      </c>
      <c r="F98" s="101">
        <v>0.59</v>
      </c>
      <c r="G98" s="103"/>
      <c r="H98" s="104"/>
      <c r="I98" s="101">
        <v>0.55000000000000004</v>
      </c>
      <c r="J98" s="99">
        <f>Table336789101112131415[[#This Row],[Sched C/ County/ State]]-Table336789101112131415[[#This Row],[2025 Rate]]</f>
        <v>0.04</v>
      </c>
    </row>
    <row r="99" spans="1:10" x14ac:dyDescent="0.2">
      <c r="A99" s="93">
        <v>617</v>
      </c>
      <c r="B99" s="96" t="s">
        <v>225</v>
      </c>
      <c r="C99" s="95">
        <v>2009</v>
      </c>
      <c r="D99" s="96" t="s">
        <v>214</v>
      </c>
      <c r="E99" s="96" t="s">
        <v>226</v>
      </c>
      <c r="F99" s="101">
        <v>13.84</v>
      </c>
      <c r="G99" s="103">
        <f>Table336789101112131415[[#This Row],[Sched C/ County/ State]]+0.3</f>
        <v>14.14</v>
      </c>
      <c r="H99" s="104"/>
      <c r="I99" s="101">
        <v>12.95</v>
      </c>
      <c r="J99" s="99">
        <f>Table336789101112131415[[#This Row],[Sched C/ County/ State]]-Table336789101112131415[[#This Row],[2025 Rate]]</f>
        <v>0.89</v>
      </c>
    </row>
    <row r="100" spans="1:10" x14ac:dyDescent="0.2">
      <c r="A100" s="93">
        <v>619</v>
      </c>
      <c r="B100" s="96" t="s">
        <v>227</v>
      </c>
      <c r="C100" s="95">
        <v>2010</v>
      </c>
      <c r="D100" s="96" t="s">
        <v>211</v>
      </c>
      <c r="E100" s="96" t="s">
        <v>228</v>
      </c>
      <c r="F100" s="101">
        <v>13.84</v>
      </c>
      <c r="G100" s="103">
        <f>Table336789101112131415[[#This Row],[Sched C/ County/ State]]+0.3</f>
        <v>14.14</v>
      </c>
      <c r="H100" s="104"/>
      <c r="I100" s="101">
        <v>12.95</v>
      </c>
      <c r="J100" s="99">
        <f>Table336789101112131415[[#This Row],[Sched C/ County/ State]]-Table336789101112131415[[#This Row],[2025 Rate]]</f>
        <v>0.89</v>
      </c>
    </row>
    <row r="101" spans="1:10" x14ac:dyDescent="0.2">
      <c r="A101" s="93">
        <v>621</v>
      </c>
      <c r="B101" s="96" t="s">
        <v>227</v>
      </c>
      <c r="C101" s="95">
        <v>2010</v>
      </c>
      <c r="D101" s="96" t="s">
        <v>211</v>
      </c>
      <c r="E101" s="96" t="s">
        <v>228</v>
      </c>
      <c r="F101" s="101">
        <v>13.84</v>
      </c>
      <c r="G101" s="103">
        <f>Table336789101112131415[[#This Row],[Sched C/ County/ State]]+0.3</f>
        <v>14.14</v>
      </c>
      <c r="H101" s="104"/>
      <c r="I101" s="101">
        <v>12.95</v>
      </c>
      <c r="J101" s="99">
        <f>Table336789101112131415[[#This Row],[Sched C/ County/ State]]-Table336789101112131415[[#This Row],[2025 Rate]]</f>
        <v>0.89</v>
      </c>
    </row>
    <row r="102" spans="1:10" x14ac:dyDescent="0.2">
      <c r="A102" s="93">
        <v>623</v>
      </c>
      <c r="B102" s="96" t="s">
        <v>227</v>
      </c>
      <c r="C102" s="95">
        <v>2010</v>
      </c>
      <c r="D102" s="96" t="s">
        <v>211</v>
      </c>
      <c r="E102" s="96" t="s">
        <v>228</v>
      </c>
      <c r="F102" s="101">
        <v>13.84</v>
      </c>
      <c r="G102" s="103">
        <f>Table336789101112131415[[#This Row],[Sched C/ County/ State]]+0.3</f>
        <v>14.14</v>
      </c>
      <c r="H102" s="104"/>
      <c r="I102" s="101">
        <v>12.95</v>
      </c>
      <c r="J102" s="99">
        <f>Table336789101112131415[[#This Row],[Sched C/ County/ State]]-Table336789101112131415[[#This Row],[2025 Rate]]</f>
        <v>0.89</v>
      </c>
    </row>
    <row r="103" spans="1:10" x14ac:dyDescent="0.2">
      <c r="A103" s="93">
        <v>624</v>
      </c>
      <c r="B103" s="96" t="s">
        <v>227</v>
      </c>
      <c r="C103" s="95">
        <v>2010</v>
      </c>
      <c r="D103" s="96" t="s">
        <v>211</v>
      </c>
      <c r="E103" s="96" t="s">
        <v>228</v>
      </c>
      <c r="F103" s="101">
        <v>13.84</v>
      </c>
      <c r="G103" s="103">
        <f>Table336789101112131415[[#This Row],[Sched C/ County/ State]]+0.3</f>
        <v>14.14</v>
      </c>
      <c r="H103" s="104"/>
      <c r="I103" s="101">
        <v>12.95</v>
      </c>
      <c r="J103" s="99">
        <f>Table336789101112131415[[#This Row],[Sched C/ County/ State]]-Table336789101112131415[[#This Row],[2025 Rate]]</f>
        <v>0.89</v>
      </c>
    </row>
    <row r="104" spans="1:10" x14ac:dyDescent="0.2">
      <c r="A104" s="93">
        <v>634</v>
      </c>
      <c r="B104" s="96" t="s">
        <v>229</v>
      </c>
      <c r="C104" s="95">
        <v>2011</v>
      </c>
      <c r="D104" s="96" t="s">
        <v>211</v>
      </c>
      <c r="E104" s="96" t="s">
        <v>228</v>
      </c>
      <c r="F104" s="101">
        <v>13.84</v>
      </c>
      <c r="G104" s="103">
        <f>Table336789101112131415[[#This Row],[Sched C/ County/ State]]+0.3</f>
        <v>14.14</v>
      </c>
      <c r="H104" s="104"/>
      <c r="I104" s="101">
        <v>12.95</v>
      </c>
      <c r="J104" s="99">
        <f>Table336789101112131415[[#This Row],[Sched C/ County/ State]]-Table336789101112131415[[#This Row],[2025 Rate]]</f>
        <v>0.89</v>
      </c>
    </row>
    <row r="105" spans="1:10" x14ac:dyDescent="0.2">
      <c r="A105" s="93">
        <v>640</v>
      </c>
      <c r="B105" s="96" t="s">
        <v>229</v>
      </c>
      <c r="C105" s="95">
        <v>2013</v>
      </c>
      <c r="D105" s="96" t="s">
        <v>211</v>
      </c>
      <c r="E105" s="96" t="s">
        <v>228</v>
      </c>
      <c r="F105" s="101">
        <v>13.84</v>
      </c>
      <c r="G105" s="103">
        <f>Table336789101112131415[[#This Row],[Sched C/ County/ State]]+0.3</f>
        <v>14.14</v>
      </c>
      <c r="H105" s="104"/>
      <c r="I105" s="101">
        <v>12.95</v>
      </c>
      <c r="J105" s="99">
        <f>Table336789101112131415[[#This Row],[Sched C/ County/ State]]-Table336789101112131415[[#This Row],[2025 Rate]]</f>
        <v>0.89</v>
      </c>
    </row>
    <row r="106" spans="1:10" x14ac:dyDescent="0.2">
      <c r="A106" s="93">
        <v>642</v>
      </c>
      <c r="B106" s="96" t="s">
        <v>229</v>
      </c>
      <c r="C106" s="95">
        <v>2013</v>
      </c>
      <c r="D106" s="96" t="s">
        <v>211</v>
      </c>
      <c r="E106" s="96" t="s">
        <v>230</v>
      </c>
      <c r="F106" s="101">
        <v>13.84</v>
      </c>
      <c r="G106" s="103">
        <f>Table336789101112131415[[#This Row],[Sched C/ County/ State]]+0.3</f>
        <v>14.14</v>
      </c>
      <c r="H106" s="104"/>
      <c r="I106" s="101">
        <v>12.95</v>
      </c>
      <c r="J106" s="99">
        <f>Table336789101112131415[[#This Row],[Sched C/ County/ State]]-Table336789101112131415[[#This Row],[2025 Rate]]</f>
        <v>0.89</v>
      </c>
    </row>
    <row r="107" spans="1:10" ht="30" x14ac:dyDescent="0.2">
      <c r="A107" s="93">
        <v>644</v>
      </c>
      <c r="B107" s="94" t="s">
        <v>231</v>
      </c>
      <c r="C107" s="95">
        <v>2016</v>
      </c>
      <c r="D107" s="96" t="s">
        <v>211</v>
      </c>
      <c r="E107" s="96" t="s">
        <v>232</v>
      </c>
      <c r="F107" s="101">
        <v>13.84</v>
      </c>
      <c r="G107" s="103">
        <f>Table336789101112131415[[#This Row],[Sched C/ County/ State]]+0.3</f>
        <v>14.14</v>
      </c>
      <c r="H107" s="106"/>
      <c r="I107" s="101">
        <v>12.95</v>
      </c>
      <c r="J107" s="99">
        <f>Table336789101112131415[[#This Row],[Sched C/ County/ State]]-Table336789101112131415[[#This Row],[2025 Rate]]</f>
        <v>0.89</v>
      </c>
    </row>
    <row r="108" spans="1:10" x14ac:dyDescent="0.2">
      <c r="A108" s="93">
        <v>645</v>
      </c>
      <c r="B108" s="94" t="s">
        <v>231</v>
      </c>
      <c r="C108" s="95">
        <v>2016</v>
      </c>
      <c r="D108" s="96" t="s">
        <v>211</v>
      </c>
      <c r="E108" s="96" t="s">
        <v>228</v>
      </c>
      <c r="F108" s="101">
        <v>15.13</v>
      </c>
      <c r="G108" s="103">
        <f>Table336789101112131415[[#This Row],[Sched C/ County/ State]]+0.3</f>
        <v>15.43</v>
      </c>
      <c r="H108" s="106"/>
      <c r="I108" s="101">
        <v>14.16</v>
      </c>
      <c r="J108" s="99">
        <f>Table336789101112131415[[#This Row],[Sched C/ County/ State]]-Table336789101112131415[[#This Row],[2025 Rate]]</f>
        <v>0.97</v>
      </c>
    </row>
    <row r="109" spans="1:10" x14ac:dyDescent="0.2">
      <c r="A109" s="93">
        <v>646</v>
      </c>
      <c r="B109" s="94" t="s">
        <v>231</v>
      </c>
      <c r="C109" s="95">
        <v>2016</v>
      </c>
      <c r="D109" s="96" t="s">
        <v>211</v>
      </c>
      <c r="E109" s="96" t="s">
        <v>228</v>
      </c>
      <c r="F109" s="101">
        <v>15.13</v>
      </c>
      <c r="G109" s="103">
        <f>Table336789101112131415[[#This Row],[Sched C/ County/ State]]+0.3</f>
        <v>15.43</v>
      </c>
      <c r="H109" s="106"/>
      <c r="I109" s="101">
        <v>14.16</v>
      </c>
      <c r="J109" s="99">
        <f>Table336789101112131415[[#This Row],[Sched C/ County/ State]]-Table336789101112131415[[#This Row],[2025 Rate]]</f>
        <v>0.97</v>
      </c>
    </row>
    <row r="110" spans="1:10" x14ac:dyDescent="0.2">
      <c r="A110" s="93">
        <v>647</v>
      </c>
      <c r="B110" s="94" t="s">
        <v>231</v>
      </c>
      <c r="C110" s="95">
        <v>2016</v>
      </c>
      <c r="D110" s="96" t="s">
        <v>211</v>
      </c>
      <c r="E110" s="96" t="s">
        <v>228</v>
      </c>
      <c r="F110" s="101">
        <v>15.13</v>
      </c>
      <c r="G110" s="103">
        <f>Table336789101112131415[[#This Row],[Sched C/ County/ State]]+0.3</f>
        <v>15.43</v>
      </c>
      <c r="H110" s="106"/>
      <c r="I110" s="101">
        <v>14.16</v>
      </c>
      <c r="J110" s="99">
        <f>Table336789101112131415[[#This Row],[Sched C/ County/ State]]-Table336789101112131415[[#This Row],[2025 Rate]]</f>
        <v>0.97</v>
      </c>
    </row>
    <row r="111" spans="1:10" x14ac:dyDescent="0.2">
      <c r="A111" s="93">
        <v>648</v>
      </c>
      <c r="B111" s="94" t="s">
        <v>233</v>
      </c>
      <c r="C111" s="95">
        <v>2017</v>
      </c>
      <c r="D111" s="96" t="s">
        <v>211</v>
      </c>
      <c r="E111" s="96" t="s">
        <v>228</v>
      </c>
      <c r="F111" s="101">
        <v>15.13</v>
      </c>
      <c r="G111" s="103">
        <f>Table336789101112131415[[#This Row],[Sched C/ County/ State]]+0.3</f>
        <v>15.43</v>
      </c>
      <c r="H111" s="106"/>
      <c r="I111" s="101">
        <v>14.16</v>
      </c>
      <c r="J111" s="99">
        <f>Table336789101112131415[[#This Row],[Sched C/ County/ State]]-Table336789101112131415[[#This Row],[2025 Rate]]</f>
        <v>0.97</v>
      </c>
    </row>
    <row r="112" spans="1:10" x14ac:dyDescent="0.2">
      <c r="A112" s="93">
        <v>649</v>
      </c>
      <c r="B112" s="94" t="s">
        <v>233</v>
      </c>
      <c r="C112" s="95">
        <v>2017</v>
      </c>
      <c r="D112" s="96" t="s">
        <v>211</v>
      </c>
      <c r="E112" s="96" t="s">
        <v>228</v>
      </c>
      <c r="F112" s="101">
        <v>15.13</v>
      </c>
      <c r="G112" s="103">
        <f>Table336789101112131415[[#This Row],[Sched C/ County/ State]]+0.3</f>
        <v>15.43</v>
      </c>
      <c r="H112" s="106"/>
      <c r="I112" s="101">
        <v>14.16</v>
      </c>
      <c r="J112" s="99">
        <f>Table336789101112131415[[#This Row],[Sched C/ County/ State]]-Table336789101112131415[[#This Row],[2025 Rate]]</f>
        <v>0.97</v>
      </c>
    </row>
    <row r="113" spans="1:10" x14ac:dyDescent="0.2">
      <c r="A113" s="93">
        <v>650</v>
      </c>
      <c r="B113" s="94" t="s">
        <v>233</v>
      </c>
      <c r="C113" s="95">
        <v>2017</v>
      </c>
      <c r="D113" s="96" t="s">
        <v>211</v>
      </c>
      <c r="E113" s="96" t="s">
        <v>228</v>
      </c>
      <c r="F113" s="101">
        <v>15.13</v>
      </c>
      <c r="G113" s="103">
        <f>Table336789101112131415[[#This Row],[Sched C/ County/ State]]+0.3</f>
        <v>15.43</v>
      </c>
      <c r="H113" s="106"/>
      <c r="I113" s="101">
        <v>14.16</v>
      </c>
      <c r="J113" s="99">
        <f>Table336789101112131415[[#This Row],[Sched C/ County/ State]]-Table336789101112131415[[#This Row],[2025 Rate]]</f>
        <v>0.97</v>
      </c>
    </row>
    <row r="114" spans="1:10" x14ac:dyDescent="0.2">
      <c r="A114" s="93">
        <v>651</v>
      </c>
      <c r="B114" s="94" t="s">
        <v>233</v>
      </c>
      <c r="C114" s="95">
        <v>2017</v>
      </c>
      <c r="D114" s="96" t="s">
        <v>211</v>
      </c>
      <c r="E114" s="96" t="s">
        <v>228</v>
      </c>
      <c r="F114" s="101">
        <v>15.13</v>
      </c>
      <c r="G114" s="103">
        <f>Table336789101112131415[[#This Row],[Sched C/ County/ State]]+0.3</f>
        <v>15.43</v>
      </c>
      <c r="H114" s="106"/>
      <c r="I114" s="101">
        <v>14.16</v>
      </c>
      <c r="J114" s="99">
        <f>Table336789101112131415[[#This Row],[Sched C/ County/ State]]-Table336789101112131415[[#This Row],[2025 Rate]]</f>
        <v>0.97</v>
      </c>
    </row>
    <row r="115" spans="1:10" x14ac:dyDescent="0.2">
      <c r="A115" s="93">
        <v>652</v>
      </c>
      <c r="B115" s="94" t="s">
        <v>233</v>
      </c>
      <c r="C115" s="95">
        <v>2017</v>
      </c>
      <c r="D115" s="96" t="s">
        <v>211</v>
      </c>
      <c r="E115" s="96" t="s">
        <v>228</v>
      </c>
      <c r="F115" s="101">
        <v>15.13</v>
      </c>
      <c r="G115" s="103">
        <f>Table336789101112131415[[#This Row],[Sched C/ County/ State]]+0.3</f>
        <v>15.43</v>
      </c>
      <c r="H115" s="106"/>
      <c r="I115" s="101">
        <v>14.16</v>
      </c>
      <c r="J115" s="99">
        <f>Table336789101112131415[[#This Row],[Sched C/ County/ State]]-Table336789101112131415[[#This Row],[2025 Rate]]</f>
        <v>0.97</v>
      </c>
    </row>
    <row r="116" spans="1:10" x14ac:dyDescent="0.2">
      <c r="A116" s="93">
        <v>653</v>
      </c>
      <c r="B116" s="94" t="s">
        <v>234</v>
      </c>
      <c r="C116" s="95">
        <v>2017</v>
      </c>
      <c r="D116" s="96" t="s">
        <v>211</v>
      </c>
      <c r="E116" s="96" t="s">
        <v>235</v>
      </c>
      <c r="F116" s="101">
        <v>13.84</v>
      </c>
      <c r="G116" s="103">
        <f>Table336789101112131415[[#This Row],[Sched C/ County/ State]]+0.3</f>
        <v>14.14</v>
      </c>
      <c r="H116" s="106"/>
      <c r="I116" s="101">
        <v>12.95</v>
      </c>
      <c r="J116" s="99">
        <f>Table336789101112131415[[#This Row],[Sched C/ County/ State]]-Table336789101112131415[[#This Row],[2025 Rate]]</f>
        <v>0.89</v>
      </c>
    </row>
    <row r="117" spans="1:10" x14ac:dyDescent="0.2">
      <c r="A117" s="93">
        <v>654</v>
      </c>
      <c r="B117" s="94" t="s">
        <v>233</v>
      </c>
      <c r="C117" s="95">
        <v>2017</v>
      </c>
      <c r="D117" s="96" t="s">
        <v>211</v>
      </c>
      <c r="E117" s="96" t="s">
        <v>228</v>
      </c>
      <c r="F117" s="101">
        <v>15.13</v>
      </c>
      <c r="G117" s="103">
        <f>Table336789101112131415[[#This Row],[Sched C/ County/ State]]+0.3</f>
        <v>15.43</v>
      </c>
      <c r="H117" s="106"/>
      <c r="I117" s="101">
        <v>14.16</v>
      </c>
      <c r="J117" s="99">
        <f>Table336789101112131415[[#This Row],[Sched C/ County/ State]]-Table336789101112131415[[#This Row],[2025 Rate]]</f>
        <v>0.97</v>
      </c>
    </row>
    <row r="118" spans="1:10" x14ac:dyDescent="0.2">
      <c r="A118" s="93">
        <v>655</v>
      </c>
      <c r="B118" s="94" t="s">
        <v>233</v>
      </c>
      <c r="C118" s="95">
        <v>2017</v>
      </c>
      <c r="D118" s="96" t="s">
        <v>211</v>
      </c>
      <c r="E118" s="96" t="s">
        <v>228</v>
      </c>
      <c r="F118" s="101">
        <v>15.13</v>
      </c>
      <c r="G118" s="103">
        <f>Table336789101112131415[[#This Row],[Sched C/ County/ State]]+0.3</f>
        <v>15.43</v>
      </c>
      <c r="H118" s="106"/>
      <c r="I118" s="101">
        <v>14.16</v>
      </c>
      <c r="J118" s="99">
        <f>Table336789101112131415[[#This Row],[Sched C/ County/ State]]-Table336789101112131415[[#This Row],[2025 Rate]]</f>
        <v>0.97</v>
      </c>
    </row>
    <row r="119" spans="1:10" x14ac:dyDescent="0.2">
      <c r="A119" s="93">
        <v>656</v>
      </c>
      <c r="B119" s="94" t="s">
        <v>233</v>
      </c>
      <c r="C119" s="95">
        <v>2017</v>
      </c>
      <c r="D119" s="96" t="s">
        <v>211</v>
      </c>
      <c r="E119" s="96" t="s">
        <v>228</v>
      </c>
      <c r="F119" s="101">
        <v>15.13</v>
      </c>
      <c r="G119" s="103">
        <f>Table336789101112131415[[#This Row],[Sched C/ County/ State]]+0.3</f>
        <v>15.43</v>
      </c>
      <c r="H119" s="106"/>
      <c r="I119" s="101">
        <v>14.16</v>
      </c>
      <c r="J119" s="99">
        <f>Table336789101112131415[[#This Row],[Sched C/ County/ State]]-Table336789101112131415[[#This Row],[2025 Rate]]</f>
        <v>0.97</v>
      </c>
    </row>
    <row r="120" spans="1:10" x14ac:dyDescent="0.2">
      <c r="A120" s="93">
        <v>657</v>
      </c>
      <c r="B120" s="94" t="s">
        <v>233</v>
      </c>
      <c r="C120" s="95">
        <v>2017</v>
      </c>
      <c r="D120" s="96" t="s">
        <v>211</v>
      </c>
      <c r="E120" s="96" t="s">
        <v>228</v>
      </c>
      <c r="F120" s="101">
        <v>15.13</v>
      </c>
      <c r="G120" s="103">
        <f>Table336789101112131415[[#This Row],[Sched C/ County/ State]]+0.3</f>
        <v>15.43</v>
      </c>
      <c r="H120" s="106"/>
      <c r="I120" s="101">
        <v>14.16</v>
      </c>
      <c r="J120" s="99">
        <f>Table336789101112131415[[#This Row],[Sched C/ County/ State]]-Table336789101112131415[[#This Row],[2025 Rate]]</f>
        <v>0.97</v>
      </c>
    </row>
    <row r="121" spans="1:10" x14ac:dyDescent="0.2">
      <c r="A121" s="93">
        <v>658</v>
      </c>
      <c r="B121" s="94" t="s">
        <v>233</v>
      </c>
      <c r="C121" s="95">
        <v>2017</v>
      </c>
      <c r="D121" s="96" t="s">
        <v>211</v>
      </c>
      <c r="E121" s="96" t="s">
        <v>228</v>
      </c>
      <c r="F121" s="101">
        <v>15.13</v>
      </c>
      <c r="G121" s="103">
        <f>Table336789101112131415[[#This Row],[Sched C/ County/ State]]+0.3</f>
        <v>15.43</v>
      </c>
      <c r="H121" s="106"/>
      <c r="I121" s="101">
        <v>14.16</v>
      </c>
      <c r="J121" s="99">
        <f>Table336789101112131415[[#This Row],[Sched C/ County/ State]]-Table336789101112131415[[#This Row],[2025 Rate]]</f>
        <v>0.97</v>
      </c>
    </row>
    <row r="122" spans="1:10" x14ac:dyDescent="0.2">
      <c r="A122" s="93">
        <v>659</v>
      </c>
      <c r="B122" s="94" t="s">
        <v>236</v>
      </c>
      <c r="C122" s="95">
        <v>2017</v>
      </c>
      <c r="D122" s="96" t="s">
        <v>237</v>
      </c>
      <c r="E122" s="96" t="s">
        <v>238</v>
      </c>
      <c r="F122" s="101">
        <v>13.84</v>
      </c>
      <c r="G122" s="103">
        <f>Table336789101112131415[[#This Row],[Sched C/ County/ State]]+0.3</f>
        <v>14.14</v>
      </c>
      <c r="H122" s="104"/>
      <c r="I122" s="101">
        <v>12.95</v>
      </c>
      <c r="J122" s="99">
        <f>Table336789101112131415[[#This Row],[Sched C/ County/ State]]-Table336789101112131415[[#This Row],[2025 Rate]]</f>
        <v>0.89</v>
      </c>
    </row>
    <row r="123" spans="1:10" x14ac:dyDescent="0.2">
      <c r="A123" s="93">
        <v>660</v>
      </c>
      <c r="B123" s="94" t="s">
        <v>234</v>
      </c>
      <c r="C123" s="95">
        <v>2018</v>
      </c>
      <c r="D123" s="96" t="s">
        <v>211</v>
      </c>
      <c r="E123" s="96" t="s">
        <v>235</v>
      </c>
      <c r="F123" s="101">
        <v>13.84</v>
      </c>
      <c r="G123" s="103">
        <f>Table336789101112131415[[#This Row],[Sched C/ County/ State]]+0.3</f>
        <v>14.14</v>
      </c>
      <c r="H123" s="104"/>
      <c r="I123" s="101">
        <v>12.95</v>
      </c>
      <c r="J123" s="99">
        <f>Table336789101112131415[[#This Row],[Sched C/ County/ State]]-Table336789101112131415[[#This Row],[2025 Rate]]</f>
        <v>0.89</v>
      </c>
    </row>
    <row r="124" spans="1:10" x14ac:dyDescent="0.2">
      <c r="A124" s="93">
        <v>661</v>
      </c>
      <c r="B124" s="94" t="s">
        <v>231</v>
      </c>
      <c r="C124" s="95">
        <v>2017</v>
      </c>
      <c r="D124" s="96" t="s">
        <v>211</v>
      </c>
      <c r="E124" s="96" t="s">
        <v>235</v>
      </c>
      <c r="F124" s="101">
        <v>13.84</v>
      </c>
      <c r="G124" s="103">
        <f>Table336789101112131415[[#This Row],[Sched C/ County/ State]]+0.3</f>
        <v>14.14</v>
      </c>
      <c r="H124" s="104"/>
      <c r="I124" s="101">
        <v>12.95</v>
      </c>
      <c r="J124" s="99">
        <f>Table336789101112131415[[#This Row],[Sched C/ County/ State]]-Table336789101112131415[[#This Row],[2025 Rate]]</f>
        <v>0.89</v>
      </c>
    </row>
    <row r="125" spans="1:10" x14ac:dyDescent="0.2">
      <c r="A125" s="93">
        <v>662</v>
      </c>
      <c r="B125" s="94" t="s">
        <v>239</v>
      </c>
      <c r="C125" s="95">
        <v>2019</v>
      </c>
      <c r="D125" s="96" t="s">
        <v>211</v>
      </c>
      <c r="E125" s="96" t="s">
        <v>228</v>
      </c>
      <c r="F125" s="101">
        <v>15.13</v>
      </c>
      <c r="G125" s="103">
        <f>Table336789101112131415[[#This Row],[Sched C/ County/ State]]+0.3</f>
        <v>15.43</v>
      </c>
      <c r="H125" s="104"/>
      <c r="I125" s="101">
        <v>14.16</v>
      </c>
      <c r="J125" s="99">
        <f>Table336789101112131415[[#This Row],[Sched C/ County/ State]]-Table336789101112131415[[#This Row],[2025 Rate]]</f>
        <v>0.97</v>
      </c>
    </row>
    <row r="126" spans="1:10" x14ac:dyDescent="0.2">
      <c r="A126" s="93">
        <v>663</v>
      </c>
      <c r="B126" s="94" t="s">
        <v>239</v>
      </c>
      <c r="C126" s="95">
        <v>2019</v>
      </c>
      <c r="D126" s="96" t="s">
        <v>211</v>
      </c>
      <c r="E126" s="96" t="s">
        <v>228</v>
      </c>
      <c r="F126" s="101">
        <v>15.13</v>
      </c>
      <c r="G126" s="103">
        <f>Table336789101112131415[[#This Row],[Sched C/ County/ State]]+0.3</f>
        <v>15.43</v>
      </c>
      <c r="H126" s="104"/>
      <c r="I126" s="101">
        <v>14.16</v>
      </c>
      <c r="J126" s="99">
        <f>Table336789101112131415[[#This Row],[Sched C/ County/ State]]-Table336789101112131415[[#This Row],[2025 Rate]]</f>
        <v>0.97</v>
      </c>
    </row>
    <row r="127" spans="1:10" x14ac:dyDescent="0.2">
      <c r="A127" s="93">
        <v>664</v>
      </c>
      <c r="B127" s="94" t="s">
        <v>239</v>
      </c>
      <c r="C127" s="95">
        <v>2019</v>
      </c>
      <c r="D127" s="96" t="s">
        <v>211</v>
      </c>
      <c r="E127" s="96" t="s">
        <v>228</v>
      </c>
      <c r="F127" s="101">
        <v>15.13</v>
      </c>
      <c r="G127" s="103">
        <f>Table336789101112131415[[#This Row],[Sched C/ County/ State]]+0.3</f>
        <v>15.43</v>
      </c>
      <c r="H127" s="104"/>
      <c r="I127" s="101">
        <v>14.16</v>
      </c>
      <c r="J127" s="99">
        <f>Table336789101112131415[[#This Row],[Sched C/ County/ State]]-Table336789101112131415[[#This Row],[2025 Rate]]</f>
        <v>0.97</v>
      </c>
    </row>
    <row r="128" spans="1:10" x14ac:dyDescent="0.2">
      <c r="A128" s="93">
        <v>665</v>
      </c>
      <c r="B128" s="94" t="s">
        <v>239</v>
      </c>
      <c r="C128" s="95">
        <v>2019</v>
      </c>
      <c r="D128" s="96" t="s">
        <v>211</v>
      </c>
      <c r="E128" s="96" t="s">
        <v>228</v>
      </c>
      <c r="F128" s="101">
        <v>15.13</v>
      </c>
      <c r="G128" s="103">
        <f>Table336789101112131415[[#This Row],[Sched C/ County/ State]]+0.3</f>
        <v>15.43</v>
      </c>
      <c r="H128" s="104"/>
      <c r="I128" s="101">
        <v>14.16</v>
      </c>
      <c r="J128" s="99">
        <f>Table336789101112131415[[#This Row],[Sched C/ County/ State]]-Table336789101112131415[[#This Row],[2025 Rate]]</f>
        <v>0.97</v>
      </c>
    </row>
    <row r="129" spans="1:10" x14ac:dyDescent="0.2">
      <c r="A129" s="93">
        <v>666</v>
      </c>
      <c r="B129" s="94" t="s">
        <v>239</v>
      </c>
      <c r="C129" s="95">
        <v>2019</v>
      </c>
      <c r="D129" s="96" t="s">
        <v>211</v>
      </c>
      <c r="E129" s="96" t="s">
        <v>228</v>
      </c>
      <c r="F129" s="101">
        <v>15.13</v>
      </c>
      <c r="G129" s="103">
        <f>Table336789101112131415[[#This Row],[Sched C/ County/ State]]+0.3</f>
        <v>15.43</v>
      </c>
      <c r="H129" s="104"/>
      <c r="I129" s="101">
        <v>14.16</v>
      </c>
      <c r="J129" s="99">
        <f>Table336789101112131415[[#This Row],[Sched C/ County/ State]]-Table336789101112131415[[#This Row],[2025 Rate]]</f>
        <v>0.97</v>
      </c>
    </row>
    <row r="130" spans="1:10" x14ac:dyDescent="0.2">
      <c r="A130" s="93">
        <v>667</v>
      </c>
      <c r="B130" s="94" t="s">
        <v>239</v>
      </c>
      <c r="C130" s="95">
        <v>2019</v>
      </c>
      <c r="D130" s="96" t="s">
        <v>211</v>
      </c>
      <c r="E130" s="96" t="s">
        <v>228</v>
      </c>
      <c r="F130" s="101">
        <v>15.13</v>
      </c>
      <c r="G130" s="103">
        <f>Table336789101112131415[[#This Row],[Sched C/ County/ State]]+0.3</f>
        <v>15.43</v>
      </c>
      <c r="H130" s="104"/>
      <c r="I130" s="101">
        <v>14.16</v>
      </c>
      <c r="J130" s="99">
        <f>Table336789101112131415[[#This Row],[Sched C/ County/ State]]-Table336789101112131415[[#This Row],[2025 Rate]]</f>
        <v>0.97</v>
      </c>
    </row>
    <row r="131" spans="1:10" x14ac:dyDescent="0.2">
      <c r="A131" s="93">
        <v>669</v>
      </c>
      <c r="B131" s="94" t="s">
        <v>240</v>
      </c>
      <c r="C131" s="95">
        <v>2019</v>
      </c>
      <c r="D131" s="96" t="s">
        <v>211</v>
      </c>
      <c r="E131" s="96" t="s">
        <v>235</v>
      </c>
      <c r="F131" s="101">
        <v>13.84</v>
      </c>
      <c r="G131" s="103">
        <f>Table336789101112131415[[#This Row],[Sched C/ County/ State]]+0.3</f>
        <v>14.14</v>
      </c>
      <c r="H131" s="104"/>
      <c r="I131" s="101">
        <v>12.95</v>
      </c>
      <c r="J131" s="99">
        <f>Table336789101112131415[[#This Row],[Sched C/ County/ State]]-Table336789101112131415[[#This Row],[2025 Rate]]</f>
        <v>0.89</v>
      </c>
    </row>
    <row r="132" spans="1:10" x14ac:dyDescent="0.2">
      <c r="A132" s="93">
        <v>670</v>
      </c>
      <c r="B132" s="94" t="s">
        <v>240</v>
      </c>
      <c r="C132" s="95">
        <v>2019</v>
      </c>
      <c r="D132" s="96" t="s">
        <v>211</v>
      </c>
      <c r="E132" s="96" t="s">
        <v>235</v>
      </c>
      <c r="F132" s="101">
        <v>13.84</v>
      </c>
      <c r="G132" s="103">
        <f>Table336789101112131415[[#This Row],[Sched C/ County/ State]]+0.3</f>
        <v>14.14</v>
      </c>
      <c r="H132" s="104"/>
      <c r="I132" s="101">
        <v>12.95</v>
      </c>
      <c r="J132" s="99">
        <f>Table336789101112131415[[#This Row],[Sched C/ County/ State]]-Table336789101112131415[[#This Row],[2025 Rate]]</f>
        <v>0.89</v>
      </c>
    </row>
    <row r="133" spans="1:10" x14ac:dyDescent="0.2">
      <c r="A133" s="93">
        <v>671</v>
      </c>
      <c r="B133" s="94" t="s">
        <v>240</v>
      </c>
      <c r="C133" s="95">
        <v>2019</v>
      </c>
      <c r="D133" s="96" t="s">
        <v>211</v>
      </c>
      <c r="E133" s="96" t="s">
        <v>235</v>
      </c>
      <c r="F133" s="101">
        <v>13.84</v>
      </c>
      <c r="G133" s="103">
        <f>Table336789101112131415[[#This Row],[Sched C/ County/ State]]+0.3</f>
        <v>14.14</v>
      </c>
      <c r="H133" s="104"/>
      <c r="I133" s="101">
        <v>12.95</v>
      </c>
      <c r="J133" s="99">
        <f>Table336789101112131415[[#This Row],[Sched C/ County/ State]]-Table336789101112131415[[#This Row],[2025 Rate]]</f>
        <v>0.89</v>
      </c>
    </row>
    <row r="134" spans="1:10" x14ac:dyDescent="0.2">
      <c r="A134" s="93">
        <v>672</v>
      </c>
      <c r="B134" s="94" t="s">
        <v>239</v>
      </c>
      <c r="C134" s="95">
        <v>2019</v>
      </c>
      <c r="D134" s="96" t="s">
        <v>211</v>
      </c>
      <c r="E134" s="96" t="s">
        <v>228</v>
      </c>
      <c r="F134" s="101">
        <v>15.13</v>
      </c>
      <c r="G134" s="103">
        <f>Table336789101112131415[[#This Row],[Sched C/ County/ State]]+0.3</f>
        <v>15.43</v>
      </c>
      <c r="H134" s="104"/>
      <c r="I134" s="101">
        <v>14.16</v>
      </c>
      <c r="J134" s="99">
        <f>Table336789101112131415[[#This Row],[Sched C/ County/ State]]-Table336789101112131415[[#This Row],[2025 Rate]]</f>
        <v>0.97</v>
      </c>
    </row>
    <row r="135" spans="1:10" x14ac:dyDescent="0.2">
      <c r="A135" s="93">
        <v>673</v>
      </c>
      <c r="B135" s="94" t="s">
        <v>239</v>
      </c>
      <c r="C135" s="95">
        <v>2019</v>
      </c>
      <c r="D135" s="96" t="s">
        <v>211</v>
      </c>
      <c r="E135" s="96" t="s">
        <v>228</v>
      </c>
      <c r="F135" s="101">
        <v>15.13</v>
      </c>
      <c r="G135" s="103">
        <f>Table336789101112131415[[#This Row],[Sched C/ County/ State]]+0.3</f>
        <v>15.43</v>
      </c>
      <c r="H135" s="104"/>
      <c r="I135" s="101">
        <v>14.16</v>
      </c>
      <c r="J135" s="99">
        <f>Table336789101112131415[[#This Row],[Sched C/ County/ State]]-Table336789101112131415[[#This Row],[2025 Rate]]</f>
        <v>0.97</v>
      </c>
    </row>
    <row r="136" spans="1:10" x14ac:dyDescent="0.2">
      <c r="A136" s="93">
        <v>674</v>
      </c>
      <c r="B136" s="94" t="s">
        <v>239</v>
      </c>
      <c r="C136" s="95">
        <v>2020</v>
      </c>
      <c r="D136" s="96" t="s">
        <v>211</v>
      </c>
      <c r="E136" s="96" t="s">
        <v>230</v>
      </c>
      <c r="F136" s="101">
        <v>15.13</v>
      </c>
      <c r="G136" s="103">
        <f>Table336789101112131415[[#This Row],[Sched C/ County/ State]]+0.3</f>
        <v>15.43</v>
      </c>
      <c r="H136" s="104"/>
      <c r="I136" s="101">
        <v>14.16</v>
      </c>
      <c r="J136" s="99">
        <f>Table336789101112131415[[#This Row],[Sched C/ County/ State]]-Table336789101112131415[[#This Row],[2025 Rate]]</f>
        <v>0.97</v>
      </c>
    </row>
    <row r="137" spans="1:10" x14ac:dyDescent="0.2">
      <c r="A137" s="93">
        <v>675</v>
      </c>
      <c r="B137" s="94" t="s">
        <v>241</v>
      </c>
      <c r="C137" s="95">
        <v>2020</v>
      </c>
      <c r="D137" s="96" t="s">
        <v>211</v>
      </c>
      <c r="E137" s="96" t="s">
        <v>235</v>
      </c>
      <c r="F137" s="101">
        <v>13.84</v>
      </c>
      <c r="G137" s="103">
        <f>Table336789101112131415[[#This Row],[Sched C/ County/ State]]+0.3</f>
        <v>14.14</v>
      </c>
      <c r="H137" s="104"/>
      <c r="I137" s="101">
        <v>12.95</v>
      </c>
      <c r="J137" s="99">
        <f>Table336789101112131415[[#This Row],[Sched C/ County/ State]]-Table336789101112131415[[#This Row],[2025 Rate]]</f>
        <v>0.89</v>
      </c>
    </row>
    <row r="138" spans="1:10" x14ac:dyDescent="0.2">
      <c r="A138" s="93">
        <v>676</v>
      </c>
      <c r="B138" s="94" t="s">
        <v>241</v>
      </c>
      <c r="C138" s="95">
        <v>2020</v>
      </c>
      <c r="D138" s="96" t="s">
        <v>211</v>
      </c>
      <c r="E138" s="96" t="s">
        <v>235</v>
      </c>
      <c r="F138" s="101">
        <v>13.84</v>
      </c>
      <c r="G138" s="103">
        <f>Table336789101112131415[[#This Row],[Sched C/ County/ State]]+0.3</f>
        <v>14.14</v>
      </c>
      <c r="H138" s="104"/>
      <c r="I138" s="101">
        <v>12.95</v>
      </c>
      <c r="J138" s="99">
        <f>Table336789101112131415[[#This Row],[Sched C/ County/ State]]-Table336789101112131415[[#This Row],[2025 Rate]]</f>
        <v>0.89</v>
      </c>
    </row>
    <row r="139" spans="1:10" x14ac:dyDescent="0.2">
      <c r="A139" s="93">
        <v>677</v>
      </c>
      <c r="B139" s="94" t="s">
        <v>241</v>
      </c>
      <c r="C139" s="95">
        <v>2020</v>
      </c>
      <c r="D139" s="96" t="s">
        <v>211</v>
      </c>
      <c r="E139" s="96" t="s">
        <v>235</v>
      </c>
      <c r="F139" s="101">
        <v>13.84</v>
      </c>
      <c r="G139" s="103">
        <f>Table336789101112131415[[#This Row],[Sched C/ County/ State]]+0.3</f>
        <v>14.14</v>
      </c>
      <c r="H139" s="104"/>
      <c r="I139" s="101">
        <v>12.95</v>
      </c>
      <c r="J139" s="99">
        <f>Table336789101112131415[[#This Row],[Sched C/ County/ State]]-Table336789101112131415[[#This Row],[2025 Rate]]</f>
        <v>0.89</v>
      </c>
    </row>
    <row r="140" spans="1:10" x14ac:dyDescent="0.2">
      <c r="A140" s="93">
        <v>678</v>
      </c>
      <c r="B140" s="94" t="s">
        <v>239</v>
      </c>
      <c r="C140" s="95">
        <v>2021</v>
      </c>
      <c r="D140" s="96" t="s">
        <v>211</v>
      </c>
      <c r="E140" s="96" t="s">
        <v>228</v>
      </c>
      <c r="F140" s="101">
        <v>15.13</v>
      </c>
      <c r="G140" s="103">
        <f>Table336789101112131415[[#This Row],[Sched C/ County/ State]]+0.3</f>
        <v>15.43</v>
      </c>
      <c r="H140" s="104"/>
      <c r="I140" s="101">
        <v>14.16</v>
      </c>
      <c r="J140" s="99">
        <f>Table336789101112131415[[#This Row],[Sched C/ County/ State]]-Table336789101112131415[[#This Row],[2025 Rate]]</f>
        <v>0.97</v>
      </c>
    </row>
    <row r="141" spans="1:10" x14ac:dyDescent="0.2">
      <c r="A141" s="93">
        <v>679</v>
      </c>
      <c r="B141" s="94" t="s">
        <v>239</v>
      </c>
      <c r="C141" s="95">
        <v>2021</v>
      </c>
      <c r="D141" s="96" t="s">
        <v>211</v>
      </c>
      <c r="E141" s="96" t="s">
        <v>228</v>
      </c>
      <c r="F141" s="101">
        <v>15.13</v>
      </c>
      <c r="G141" s="103">
        <f>Table336789101112131415[[#This Row],[Sched C/ County/ State]]+0.3</f>
        <v>15.43</v>
      </c>
      <c r="H141" s="104"/>
      <c r="I141" s="101">
        <v>14.16</v>
      </c>
      <c r="J141" s="99">
        <f>Table336789101112131415[[#This Row],[Sched C/ County/ State]]-Table336789101112131415[[#This Row],[2025 Rate]]</f>
        <v>0.97</v>
      </c>
    </row>
    <row r="142" spans="1:10" ht="30" x14ac:dyDescent="0.2">
      <c r="A142" s="93">
        <v>680</v>
      </c>
      <c r="B142" s="94" t="s">
        <v>241</v>
      </c>
      <c r="C142" s="95">
        <v>2021</v>
      </c>
      <c r="D142" s="96" t="s">
        <v>211</v>
      </c>
      <c r="E142" s="96" t="s">
        <v>232</v>
      </c>
      <c r="F142" s="101">
        <v>13.84</v>
      </c>
      <c r="G142" s="103">
        <f>Table336789101112131415[[#This Row],[Sched C/ County/ State]]+0.3</f>
        <v>14.14</v>
      </c>
      <c r="H142" s="104"/>
      <c r="I142" s="101">
        <v>12.95</v>
      </c>
      <c r="J142" s="99">
        <f>Table336789101112131415[[#This Row],[Sched C/ County/ State]]-Table336789101112131415[[#This Row],[2025 Rate]]</f>
        <v>0.89</v>
      </c>
    </row>
    <row r="143" spans="1:10" x14ac:dyDescent="0.2">
      <c r="A143" s="93">
        <v>681</v>
      </c>
      <c r="B143" s="94" t="s">
        <v>239</v>
      </c>
      <c r="C143" s="95">
        <v>2023</v>
      </c>
      <c r="D143" s="96" t="s">
        <v>211</v>
      </c>
      <c r="E143" s="96" t="s">
        <v>228</v>
      </c>
      <c r="F143" s="101">
        <v>15.13</v>
      </c>
      <c r="G143" s="103">
        <f>Table336789101112131415[[#This Row],[Sched C/ County/ State]]+0.3</f>
        <v>15.43</v>
      </c>
      <c r="H143" s="104"/>
      <c r="I143" s="101">
        <v>14.16</v>
      </c>
      <c r="J143" s="99">
        <f>Table336789101112131415[[#This Row],[Sched C/ County/ State]]-Table336789101112131415[[#This Row],[2025 Rate]]</f>
        <v>0.97</v>
      </c>
    </row>
    <row r="144" spans="1:10" x14ac:dyDescent="0.2">
      <c r="A144" s="93">
        <v>682</v>
      </c>
      <c r="B144" s="94" t="s">
        <v>239</v>
      </c>
      <c r="C144" s="95">
        <v>2023</v>
      </c>
      <c r="D144" s="96" t="s">
        <v>211</v>
      </c>
      <c r="E144" s="96" t="s">
        <v>228</v>
      </c>
      <c r="F144" s="101">
        <v>15.13</v>
      </c>
      <c r="G144" s="103">
        <f>Table336789101112131415[[#This Row],[Sched C/ County/ State]]+0.3</f>
        <v>15.43</v>
      </c>
      <c r="H144" s="104"/>
      <c r="I144" s="101">
        <v>14.16</v>
      </c>
      <c r="J144" s="99">
        <f>Table336789101112131415[[#This Row],[Sched C/ County/ State]]-Table336789101112131415[[#This Row],[2025 Rate]]</f>
        <v>0.97</v>
      </c>
    </row>
    <row r="145" spans="1:10" x14ac:dyDescent="0.2">
      <c r="A145" s="93">
        <v>683</v>
      </c>
      <c r="B145" s="94" t="s">
        <v>239</v>
      </c>
      <c r="C145" s="95">
        <v>2023</v>
      </c>
      <c r="D145" s="96" t="s">
        <v>211</v>
      </c>
      <c r="E145" s="96" t="s">
        <v>228</v>
      </c>
      <c r="F145" s="101">
        <v>15.13</v>
      </c>
      <c r="G145" s="103">
        <f>Table336789101112131415[[#This Row],[Sched C/ County/ State]]+0.3</f>
        <v>15.43</v>
      </c>
      <c r="H145" s="104"/>
      <c r="I145" s="101">
        <v>14.16</v>
      </c>
      <c r="J145" s="99">
        <f>Table336789101112131415[[#This Row],[Sched C/ County/ State]]-Table336789101112131415[[#This Row],[2025 Rate]]</f>
        <v>0.97</v>
      </c>
    </row>
    <row r="146" spans="1:10" x14ac:dyDescent="0.2">
      <c r="A146" s="93">
        <v>684</v>
      </c>
      <c r="B146" s="94" t="s">
        <v>239</v>
      </c>
      <c r="C146" s="95">
        <v>2023</v>
      </c>
      <c r="D146" s="96" t="s">
        <v>211</v>
      </c>
      <c r="E146" s="96" t="s">
        <v>228</v>
      </c>
      <c r="F146" s="101">
        <v>15.13</v>
      </c>
      <c r="G146" s="103">
        <f>Table336789101112131415[[#This Row],[Sched C/ County/ State]]+0.3</f>
        <v>15.43</v>
      </c>
      <c r="H146" s="104"/>
      <c r="I146" s="101">
        <v>14.16</v>
      </c>
      <c r="J146" s="99">
        <f>Table336789101112131415[[#This Row],[Sched C/ County/ State]]-Table336789101112131415[[#This Row],[2025 Rate]]</f>
        <v>0.97</v>
      </c>
    </row>
    <row r="147" spans="1:10" x14ac:dyDescent="0.2">
      <c r="A147" s="93">
        <v>685</v>
      </c>
      <c r="B147" s="94" t="s">
        <v>239</v>
      </c>
      <c r="C147" s="95">
        <v>2023</v>
      </c>
      <c r="D147" s="96" t="s">
        <v>211</v>
      </c>
      <c r="E147" s="96" t="s">
        <v>228</v>
      </c>
      <c r="F147" s="101">
        <v>15.13</v>
      </c>
      <c r="G147" s="103">
        <f>Table336789101112131415[[#This Row],[Sched C/ County/ State]]+0.3</f>
        <v>15.43</v>
      </c>
      <c r="H147" s="104"/>
      <c r="I147" s="101">
        <v>14.16</v>
      </c>
      <c r="J147" s="99">
        <f>Table336789101112131415[[#This Row],[Sched C/ County/ State]]-Table336789101112131415[[#This Row],[2025 Rate]]</f>
        <v>0.97</v>
      </c>
    </row>
    <row r="148" spans="1:10" x14ac:dyDescent="0.2">
      <c r="A148" s="93">
        <v>686</v>
      </c>
      <c r="B148" s="94" t="s">
        <v>239</v>
      </c>
      <c r="C148" s="95">
        <v>2023</v>
      </c>
      <c r="D148" s="96" t="s">
        <v>211</v>
      </c>
      <c r="E148" s="96" t="s">
        <v>228</v>
      </c>
      <c r="F148" s="101">
        <v>15.13</v>
      </c>
      <c r="G148" s="103">
        <f>Table336789101112131415[[#This Row],[Sched C/ County/ State]]+0.3</f>
        <v>15.43</v>
      </c>
      <c r="H148" s="104"/>
      <c r="I148" s="101">
        <v>14.16</v>
      </c>
      <c r="J148" s="99">
        <f>Table336789101112131415[[#This Row],[Sched C/ County/ State]]-Table336789101112131415[[#This Row],[2025 Rate]]</f>
        <v>0.97</v>
      </c>
    </row>
    <row r="149" spans="1:10" ht="30" x14ac:dyDescent="0.2">
      <c r="A149" s="93">
        <v>687</v>
      </c>
      <c r="B149" s="94" t="s">
        <v>241</v>
      </c>
      <c r="C149" s="95">
        <v>2024</v>
      </c>
      <c r="D149" s="96" t="s">
        <v>211</v>
      </c>
      <c r="E149" s="96" t="s">
        <v>232</v>
      </c>
      <c r="F149" s="101">
        <v>13.84</v>
      </c>
      <c r="G149" s="103">
        <f>Table336789101112131415[[#This Row],[Sched C/ County/ State]]+0.3</f>
        <v>14.14</v>
      </c>
      <c r="H149" s="104"/>
      <c r="I149" s="101">
        <v>12.95</v>
      </c>
      <c r="J149" s="99">
        <f>Table336789101112131415[[#This Row],[Sched C/ County/ State]]-Table336789101112131415[[#This Row],[2025 Rate]]</f>
        <v>0.89</v>
      </c>
    </row>
    <row r="150" spans="1:10" ht="30" x14ac:dyDescent="0.2">
      <c r="A150" s="93">
        <v>688</v>
      </c>
      <c r="B150" s="94" t="s">
        <v>241</v>
      </c>
      <c r="C150" s="95">
        <v>2024</v>
      </c>
      <c r="D150" s="96" t="s">
        <v>214</v>
      </c>
      <c r="E150" s="96" t="s">
        <v>242</v>
      </c>
      <c r="F150" s="101">
        <v>13.84</v>
      </c>
      <c r="G150" s="103">
        <f>Table336789101112131415[[#This Row],[Sched C/ County/ State]]+0.3</f>
        <v>14.14</v>
      </c>
      <c r="H150" s="104"/>
      <c r="I150" s="101">
        <v>12.95</v>
      </c>
      <c r="J150" s="99">
        <f>Table336789101112131415[[#This Row],[Sched C/ County/ State]]-Table336789101112131415[[#This Row],[2025 Rate]]</f>
        <v>0.89</v>
      </c>
    </row>
    <row r="151" spans="1:10" x14ac:dyDescent="0.2">
      <c r="A151" s="93">
        <v>689</v>
      </c>
      <c r="B151" s="94" t="s">
        <v>239</v>
      </c>
      <c r="C151" s="95">
        <v>2024</v>
      </c>
      <c r="D151" s="96" t="s">
        <v>211</v>
      </c>
      <c r="E151" s="96" t="s">
        <v>228</v>
      </c>
      <c r="F151" s="101">
        <v>15.13</v>
      </c>
      <c r="G151" s="103">
        <f>Table336789101112131415[[#This Row],[Sched C/ County/ State]]+0.3</f>
        <v>15.43</v>
      </c>
      <c r="H151" s="104"/>
      <c r="I151" s="101">
        <v>14.16</v>
      </c>
      <c r="J151" s="99">
        <f>Table336789101112131415[[#This Row],[Sched C/ County/ State]]-Table336789101112131415[[#This Row],[2025 Rate]]</f>
        <v>0.97</v>
      </c>
    </row>
    <row r="152" spans="1:10" x14ac:dyDescent="0.2">
      <c r="A152" s="93">
        <v>690</v>
      </c>
      <c r="B152" s="94" t="s">
        <v>239</v>
      </c>
      <c r="C152" s="95">
        <v>2024</v>
      </c>
      <c r="D152" s="96" t="s">
        <v>211</v>
      </c>
      <c r="E152" s="96" t="s">
        <v>228</v>
      </c>
      <c r="F152" s="101">
        <v>15.13</v>
      </c>
      <c r="G152" s="103">
        <f>Table336789101112131415[[#This Row],[Sched C/ County/ State]]+0.3</f>
        <v>15.43</v>
      </c>
      <c r="H152" s="104"/>
      <c r="I152" s="101">
        <v>14.16</v>
      </c>
      <c r="J152" s="99">
        <f>Table336789101112131415[[#This Row],[Sched C/ County/ State]]-Table336789101112131415[[#This Row],[2025 Rate]]</f>
        <v>0.97</v>
      </c>
    </row>
    <row r="153" spans="1:10" x14ac:dyDescent="0.2">
      <c r="A153" s="93">
        <v>691</v>
      </c>
      <c r="B153" s="94" t="s">
        <v>239</v>
      </c>
      <c r="C153" s="95">
        <v>2024</v>
      </c>
      <c r="D153" s="96" t="s">
        <v>211</v>
      </c>
      <c r="E153" s="96" t="s">
        <v>228</v>
      </c>
      <c r="F153" s="101">
        <v>15.13</v>
      </c>
      <c r="G153" s="103">
        <f>Table336789101112131415[[#This Row],[Sched C/ County/ State]]+0.3</f>
        <v>15.43</v>
      </c>
      <c r="H153" s="104"/>
      <c r="I153" s="101">
        <v>14.16</v>
      </c>
      <c r="J153" s="99">
        <f>Table336789101112131415[[#This Row],[Sched C/ County/ State]]-Table336789101112131415[[#This Row],[2025 Rate]]</f>
        <v>0.97</v>
      </c>
    </row>
    <row r="154" spans="1:10" x14ac:dyDescent="0.2">
      <c r="A154" s="93">
        <v>692</v>
      </c>
      <c r="B154" s="94" t="s">
        <v>239</v>
      </c>
      <c r="C154" s="95">
        <v>2024</v>
      </c>
      <c r="D154" s="96" t="s">
        <v>211</v>
      </c>
      <c r="E154" s="96" t="s">
        <v>228</v>
      </c>
      <c r="F154" s="101">
        <v>15.13</v>
      </c>
      <c r="G154" s="103">
        <f>Table336789101112131415[[#This Row],[Sched C/ County/ State]]+0.3</f>
        <v>15.43</v>
      </c>
      <c r="H154" s="104"/>
      <c r="I154" s="101">
        <v>14.16</v>
      </c>
      <c r="J154" s="99">
        <f>Table336789101112131415[[#This Row],[Sched C/ County/ State]]-Table336789101112131415[[#This Row],[2025 Rate]]</f>
        <v>0.97</v>
      </c>
    </row>
    <row r="155" spans="1:10" x14ac:dyDescent="0.2">
      <c r="A155" s="93">
        <v>693</v>
      </c>
      <c r="B155" s="94" t="s">
        <v>239</v>
      </c>
      <c r="C155" s="95">
        <v>2024</v>
      </c>
      <c r="D155" s="96" t="s">
        <v>211</v>
      </c>
      <c r="E155" s="96" t="s">
        <v>228</v>
      </c>
      <c r="F155" s="101">
        <v>15.13</v>
      </c>
      <c r="G155" s="103">
        <f>Table336789101112131415[[#This Row],[Sched C/ County/ State]]+0.3</f>
        <v>15.43</v>
      </c>
      <c r="H155" s="104"/>
      <c r="I155" s="101">
        <v>14.16</v>
      </c>
      <c r="J155" s="99">
        <f>Table336789101112131415[[#This Row],[Sched C/ County/ State]]-Table336789101112131415[[#This Row],[2025 Rate]]</f>
        <v>0.97</v>
      </c>
    </row>
    <row r="156" spans="1:10" x14ac:dyDescent="0.2">
      <c r="A156" s="93">
        <v>727</v>
      </c>
      <c r="B156" s="96" t="s">
        <v>243</v>
      </c>
      <c r="C156" s="95"/>
      <c r="F156" s="101">
        <v>0.1</v>
      </c>
      <c r="G156" s="103"/>
      <c r="H156" s="104"/>
      <c r="I156" s="101">
        <v>0.09</v>
      </c>
      <c r="J156" s="99">
        <f>Table336789101112131415[[#This Row],[Sched C/ County/ State]]-Table336789101112131415[[#This Row],[2025 Rate]]</f>
        <v>0.01</v>
      </c>
    </row>
    <row r="157" spans="1:10" x14ac:dyDescent="0.2">
      <c r="A157" s="93">
        <v>731</v>
      </c>
      <c r="B157" s="96" t="s">
        <v>243</v>
      </c>
      <c r="C157" s="95"/>
      <c r="F157" s="101">
        <v>0.1</v>
      </c>
      <c r="G157" s="103"/>
      <c r="H157" s="104"/>
      <c r="I157" s="101">
        <v>0.09</v>
      </c>
      <c r="J157" s="99">
        <f>Table336789101112131415[[#This Row],[Sched C/ County/ State]]-Table336789101112131415[[#This Row],[2025 Rate]]</f>
        <v>0.01</v>
      </c>
    </row>
    <row r="158" spans="1:10" x14ac:dyDescent="0.2">
      <c r="A158" s="93">
        <v>732</v>
      </c>
      <c r="B158" s="96" t="s">
        <v>243</v>
      </c>
      <c r="C158" s="95"/>
      <c r="F158" s="101">
        <v>0.1</v>
      </c>
      <c r="G158" s="103"/>
      <c r="H158" s="104"/>
      <c r="I158" s="101">
        <v>0.09</v>
      </c>
      <c r="J158" s="99">
        <f>Table336789101112131415[[#This Row],[Sched C/ County/ State]]-Table336789101112131415[[#This Row],[2025 Rate]]</f>
        <v>0.01</v>
      </c>
    </row>
    <row r="159" spans="1:10" x14ac:dyDescent="0.2">
      <c r="A159" s="93">
        <v>733</v>
      </c>
      <c r="B159" s="96" t="s">
        <v>243</v>
      </c>
      <c r="C159" s="95"/>
      <c r="F159" s="101">
        <v>0.1</v>
      </c>
      <c r="G159" s="103"/>
      <c r="H159" s="104"/>
      <c r="I159" s="101">
        <v>0.09</v>
      </c>
      <c r="J159" s="99">
        <f>Table336789101112131415[[#This Row],[Sched C/ County/ State]]-Table336789101112131415[[#This Row],[2025 Rate]]</f>
        <v>0.01</v>
      </c>
    </row>
    <row r="160" spans="1:10" x14ac:dyDescent="0.2">
      <c r="A160" s="93">
        <v>734</v>
      </c>
      <c r="B160" s="96" t="s">
        <v>243</v>
      </c>
      <c r="C160" s="95"/>
      <c r="F160" s="101">
        <v>0.1</v>
      </c>
      <c r="G160" s="103"/>
      <c r="H160" s="104"/>
      <c r="I160" s="101">
        <v>0.09</v>
      </c>
      <c r="J160" s="99">
        <f>Table336789101112131415[[#This Row],[Sched C/ County/ State]]-Table336789101112131415[[#This Row],[2025 Rate]]</f>
        <v>0.01</v>
      </c>
    </row>
    <row r="161" spans="1:10" x14ac:dyDescent="0.2">
      <c r="A161" s="93">
        <v>735</v>
      </c>
      <c r="B161" s="96" t="s">
        <v>243</v>
      </c>
      <c r="C161" s="95"/>
      <c r="F161" s="101">
        <v>0.1</v>
      </c>
      <c r="G161" s="103"/>
      <c r="H161" s="104"/>
      <c r="I161" s="101">
        <v>0.09</v>
      </c>
      <c r="J161" s="99">
        <f>Table336789101112131415[[#This Row],[Sched C/ County/ State]]-Table336789101112131415[[#This Row],[2025 Rate]]</f>
        <v>0.01</v>
      </c>
    </row>
    <row r="162" spans="1:10" x14ac:dyDescent="0.2">
      <c r="A162" s="93">
        <v>736</v>
      </c>
      <c r="B162" s="96" t="s">
        <v>243</v>
      </c>
      <c r="C162" s="95"/>
      <c r="F162" s="101">
        <v>0.1</v>
      </c>
      <c r="G162" s="103"/>
      <c r="H162" s="104"/>
      <c r="I162" s="101">
        <v>0.09</v>
      </c>
      <c r="J162" s="99">
        <f>Table336789101112131415[[#This Row],[Sched C/ County/ State]]-Table336789101112131415[[#This Row],[2025 Rate]]</f>
        <v>0.01</v>
      </c>
    </row>
    <row r="163" spans="1:10" x14ac:dyDescent="0.2">
      <c r="A163" s="93">
        <v>737</v>
      </c>
      <c r="B163" s="96" t="s">
        <v>243</v>
      </c>
      <c r="C163" s="95"/>
      <c r="F163" s="101">
        <v>0.1</v>
      </c>
      <c r="G163" s="103"/>
      <c r="H163" s="104"/>
      <c r="I163" s="101">
        <v>0.09</v>
      </c>
      <c r="J163" s="99">
        <f>Table336789101112131415[[#This Row],[Sched C/ County/ State]]-Table336789101112131415[[#This Row],[2025 Rate]]</f>
        <v>0.01</v>
      </c>
    </row>
    <row r="164" spans="1:10" x14ac:dyDescent="0.2">
      <c r="A164" s="93">
        <v>738</v>
      </c>
      <c r="B164" s="96" t="s">
        <v>243</v>
      </c>
      <c r="C164" s="95"/>
      <c r="F164" s="101">
        <v>0.1</v>
      </c>
      <c r="G164" s="103"/>
      <c r="H164" s="104"/>
      <c r="I164" s="101">
        <v>0.09</v>
      </c>
      <c r="J164" s="99">
        <f>Table336789101112131415[[#This Row],[Sched C/ County/ State]]-Table336789101112131415[[#This Row],[2025 Rate]]</f>
        <v>0.01</v>
      </c>
    </row>
    <row r="165" spans="1:10" x14ac:dyDescent="0.2">
      <c r="A165" s="93">
        <v>739</v>
      </c>
      <c r="B165" s="96" t="s">
        <v>243</v>
      </c>
      <c r="C165" s="95"/>
      <c r="F165" s="101">
        <v>0.1</v>
      </c>
      <c r="G165" s="103"/>
      <c r="H165" s="104"/>
      <c r="I165" s="101">
        <v>0.09</v>
      </c>
      <c r="J165" s="99">
        <f>Table336789101112131415[[#This Row],[Sched C/ County/ State]]-Table336789101112131415[[#This Row],[2025 Rate]]</f>
        <v>0.01</v>
      </c>
    </row>
    <row r="166" spans="1:10" x14ac:dyDescent="0.2">
      <c r="A166" s="93">
        <v>740</v>
      </c>
      <c r="B166" s="96" t="s">
        <v>243</v>
      </c>
      <c r="C166" s="95"/>
      <c r="F166" s="101">
        <v>0.1</v>
      </c>
      <c r="G166" s="103"/>
      <c r="H166" s="104"/>
      <c r="I166" s="101">
        <v>0.09</v>
      </c>
      <c r="J166" s="99">
        <f>Table336789101112131415[[#This Row],[Sched C/ County/ State]]-Table336789101112131415[[#This Row],[2025 Rate]]</f>
        <v>0.01</v>
      </c>
    </row>
    <row r="167" spans="1:10" x14ac:dyDescent="0.2">
      <c r="A167" s="93">
        <v>741</v>
      </c>
      <c r="B167" s="96" t="s">
        <v>243</v>
      </c>
      <c r="C167" s="95"/>
      <c r="F167" s="101">
        <v>0.1</v>
      </c>
      <c r="G167" s="103"/>
      <c r="H167" s="104"/>
      <c r="I167" s="101">
        <v>0.09</v>
      </c>
      <c r="J167" s="99">
        <f>Table336789101112131415[[#This Row],[Sched C/ County/ State]]-Table336789101112131415[[#This Row],[2025 Rate]]</f>
        <v>0.01</v>
      </c>
    </row>
    <row r="168" spans="1:10" x14ac:dyDescent="0.2">
      <c r="A168" s="93">
        <v>742</v>
      </c>
      <c r="B168" s="96" t="s">
        <v>243</v>
      </c>
      <c r="C168" s="95"/>
      <c r="F168" s="101">
        <v>0.1</v>
      </c>
      <c r="G168" s="103"/>
      <c r="H168" s="104"/>
      <c r="I168" s="101">
        <v>0.09</v>
      </c>
      <c r="J168" s="99">
        <f>Table336789101112131415[[#This Row],[Sched C/ County/ State]]-Table336789101112131415[[#This Row],[2025 Rate]]</f>
        <v>0.01</v>
      </c>
    </row>
    <row r="169" spans="1:10" x14ac:dyDescent="0.2">
      <c r="A169" s="93">
        <v>743</v>
      </c>
      <c r="B169" s="96" t="s">
        <v>243</v>
      </c>
      <c r="C169" s="95"/>
      <c r="F169" s="101">
        <v>0.1</v>
      </c>
      <c r="G169" s="103"/>
      <c r="H169" s="104"/>
      <c r="I169" s="101">
        <v>0.09</v>
      </c>
      <c r="J169" s="99">
        <f>Table336789101112131415[[#This Row],[Sched C/ County/ State]]-Table336789101112131415[[#This Row],[2025 Rate]]</f>
        <v>0.01</v>
      </c>
    </row>
    <row r="170" spans="1:10" x14ac:dyDescent="0.2">
      <c r="A170" s="93">
        <v>744</v>
      </c>
      <c r="B170" s="96" t="s">
        <v>243</v>
      </c>
      <c r="C170" s="95"/>
      <c r="F170" s="101">
        <v>0.1</v>
      </c>
      <c r="G170" s="103"/>
      <c r="H170" s="104"/>
      <c r="I170" s="101">
        <v>0.09</v>
      </c>
      <c r="J170" s="99">
        <f>Table336789101112131415[[#This Row],[Sched C/ County/ State]]-Table336789101112131415[[#This Row],[2025 Rate]]</f>
        <v>0.01</v>
      </c>
    </row>
    <row r="171" spans="1:10" x14ac:dyDescent="0.2">
      <c r="A171" s="93">
        <v>745</v>
      </c>
      <c r="B171" s="96" t="s">
        <v>243</v>
      </c>
      <c r="C171" s="95"/>
      <c r="F171" s="101">
        <v>0.1</v>
      </c>
      <c r="G171" s="103"/>
      <c r="H171" s="104"/>
      <c r="I171" s="101">
        <v>0.09</v>
      </c>
      <c r="J171" s="99">
        <f>Table336789101112131415[[#This Row],[Sched C/ County/ State]]-Table336789101112131415[[#This Row],[2025 Rate]]</f>
        <v>0.01</v>
      </c>
    </row>
    <row r="172" spans="1:10" x14ac:dyDescent="0.2">
      <c r="A172" s="93">
        <v>746</v>
      </c>
      <c r="B172" s="96" t="s">
        <v>243</v>
      </c>
      <c r="C172" s="95"/>
      <c r="F172" s="101">
        <v>0.1</v>
      </c>
      <c r="G172" s="103"/>
      <c r="H172" s="104"/>
      <c r="I172" s="101">
        <v>0.09</v>
      </c>
      <c r="J172" s="99">
        <f>Table336789101112131415[[#This Row],[Sched C/ County/ State]]-Table336789101112131415[[#This Row],[2025 Rate]]</f>
        <v>0.01</v>
      </c>
    </row>
    <row r="173" spans="1:10" ht="30" x14ac:dyDescent="0.2">
      <c r="A173" s="93">
        <v>748</v>
      </c>
      <c r="B173" s="96" t="s">
        <v>244</v>
      </c>
      <c r="C173" s="95">
        <v>2012</v>
      </c>
      <c r="D173" s="96" t="s">
        <v>243</v>
      </c>
      <c r="F173" s="101">
        <v>0.1</v>
      </c>
      <c r="G173" s="103"/>
      <c r="H173" s="104"/>
      <c r="I173" s="101">
        <v>0.09</v>
      </c>
      <c r="J173" s="99">
        <f>Table336789101112131415[[#This Row],[Sched C/ County/ State]]-Table336789101112131415[[#This Row],[2025 Rate]]</f>
        <v>0.01</v>
      </c>
    </row>
    <row r="174" spans="1:10" ht="30" x14ac:dyDescent="0.2">
      <c r="A174" s="93">
        <v>749</v>
      </c>
      <c r="B174" s="96" t="s">
        <v>244</v>
      </c>
      <c r="C174" s="95">
        <v>2012</v>
      </c>
      <c r="D174" s="96" t="s">
        <v>245</v>
      </c>
      <c r="F174" s="101">
        <v>0.1</v>
      </c>
      <c r="G174" s="103"/>
      <c r="H174" s="104"/>
      <c r="I174" s="101">
        <v>0.09</v>
      </c>
      <c r="J174" s="99">
        <f>Table336789101112131415[[#This Row],[Sched C/ County/ State]]-Table336789101112131415[[#This Row],[2025 Rate]]</f>
        <v>0.01</v>
      </c>
    </row>
    <row r="175" spans="1:10" ht="30" x14ac:dyDescent="0.2">
      <c r="A175" s="93">
        <v>750</v>
      </c>
      <c r="B175" s="96" t="s">
        <v>244</v>
      </c>
      <c r="C175" s="95">
        <v>2012</v>
      </c>
      <c r="D175" s="96" t="s">
        <v>245</v>
      </c>
      <c r="F175" s="101">
        <v>0.1</v>
      </c>
      <c r="G175" s="103"/>
      <c r="H175" s="104"/>
      <c r="I175" s="101">
        <v>0.09</v>
      </c>
      <c r="J175" s="99">
        <f>Table336789101112131415[[#This Row],[Sched C/ County/ State]]-Table336789101112131415[[#This Row],[2025 Rate]]</f>
        <v>0.01</v>
      </c>
    </row>
    <row r="176" spans="1:10" ht="30" x14ac:dyDescent="0.2">
      <c r="A176" s="93">
        <v>754</v>
      </c>
      <c r="B176" s="96" t="s">
        <v>244</v>
      </c>
      <c r="C176" s="95">
        <v>2013</v>
      </c>
      <c r="D176" s="96" t="s">
        <v>245</v>
      </c>
      <c r="F176" s="101">
        <v>0.1</v>
      </c>
      <c r="G176" s="103"/>
      <c r="H176" s="104"/>
      <c r="I176" s="101">
        <v>0.09</v>
      </c>
      <c r="J176" s="99">
        <f>Table336789101112131415[[#This Row],[Sched C/ County/ State]]-Table336789101112131415[[#This Row],[2025 Rate]]</f>
        <v>0.01</v>
      </c>
    </row>
    <row r="177" spans="1:10" ht="30" x14ac:dyDescent="0.2">
      <c r="A177" s="93">
        <v>755</v>
      </c>
      <c r="B177" s="96" t="s">
        <v>244</v>
      </c>
      <c r="C177" s="95">
        <v>2013</v>
      </c>
      <c r="D177" s="96" t="s">
        <v>245</v>
      </c>
      <c r="F177" s="101">
        <v>0.1</v>
      </c>
      <c r="G177" s="103"/>
      <c r="H177" s="104"/>
      <c r="I177" s="101">
        <v>0.09</v>
      </c>
      <c r="J177" s="99">
        <f>Table336789101112131415[[#This Row],[Sched C/ County/ State]]-Table336789101112131415[[#This Row],[2025 Rate]]</f>
        <v>0.01</v>
      </c>
    </row>
    <row r="178" spans="1:10" ht="30" x14ac:dyDescent="0.2">
      <c r="A178" s="93">
        <v>756</v>
      </c>
      <c r="B178" s="96" t="s">
        <v>244</v>
      </c>
      <c r="C178" s="95">
        <v>2013</v>
      </c>
      <c r="D178" s="96" t="s">
        <v>245</v>
      </c>
      <c r="F178" s="101">
        <v>0.1</v>
      </c>
      <c r="G178" s="103"/>
      <c r="H178" s="104"/>
      <c r="I178" s="101">
        <v>0.09</v>
      </c>
      <c r="J178" s="99">
        <f>Table336789101112131415[[#This Row],[Sched C/ County/ State]]-Table336789101112131415[[#This Row],[2025 Rate]]</f>
        <v>0.01</v>
      </c>
    </row>
    <row r="179" spans="1:10" ht="30" x14ac:dyDescent="0.2">
      <c r="A179" s="93">
        <v>757</v>
      </c>
      <c r="B179" s="96" t="s">
        <v>246</v>
      </c>
      <c r="C179" s="95">
        <v>2014</v>
      </c>
      <c r="D179" s="96" t="s">
        <v>245</v>
      </c>
      <c r="F179" s="101">
        <v>0.1</v>
      </c>
      <c r="G179" s="103"/>
      <c r="H179" s="104"/>
      <c r="I179" s="101">
        <v>0.09</v>
      </c>
      <c r="J179" s="99">
        <f>Table336789101112131415[[#This Row],[Sched C/ County/ State]]-Table336789101112131415[[#This Row],[2025 Rate]]</f>
        <v>0.01</v>
      </c>
    </row>
    <row r="180" spans="1:10" ht="30" x14ac:dyDescent="0.2">
      <c r="A180" s="93">
        <v>758</v>
      </c>
      <c r="B180" s="96" t="s">
        <v>246</v>
      </c>
      <c r="C180" s="95">
        <v>2014</v>
      </c>
      <c r="D180" s="96" t="s">
        <v>245</v>
      </c>
      <c r="F180" s="101">
        <v>0.1</v>
      </c>
      <c r="G180" s="103"/>
      <c r="H180" s="104"/>
      <c r="I180" s="101">
        <v>0.09</v>
      </c>
      <c r="J180" s="99">
        <f>Table336789101112131415[[#This Row],[Sched C/ County/ State]]-Table336789101112131415[[#This Row],[2025 Rate]]</f>
        <v>0.01</v>
      </c>
    </row>
    <row r="181" spans="1:10" ht="30" x14ac:dyDescent="0.2">
      <c r="A181" s="93">
        <v>759</v>
      </c>
      <c r="B181" s="96" t="s">
        <v>246</v>
      </c>
      <c r="C181" s="95">
        <v>2014</v>
      </c>
      <c r="D181" s="96" t="s">
        <v>245</v>
      </c>
      <c r="F181" s="101">
        <v>0.1</v>
      </c>
      <c r="G181" s="103"/>
      <c r="H181" s="104"/>
      <c r="I181" s="101">
        <v>0.09</v>
      </c>
      <c r="J181" s="99">
        <f>Table336789101112131415[[#This Row],[Sched C/ County/ State]]-Table336789101112131415[[#This Row],[2025 Rate]]</f>
        <v>0.01</v>
      </c>
    </row>
    <row r="182" spans="1:10" ht="30" x14ac:dyDescent="0.2">
      <c r="A182" s="93">
        <v>760</v>
      </c>
      <c r="B182" s="96" t="s">
        <v>246</v>
      </c>
      <c r="C182" s="95">
        <v>2014</v>
      </c>
      <c r="F182" s="101">
        <v>0.1</v>
      </c>
      <c r="G182" s="103"/>
      <c r="H182" s="104"/>
      <c r="I182" s="101">
        <v>0.09</v>
      </c>
      <c r="J182" s="99">
        <f>Table336789101112131415[[#This Row],[Sched C/ County/ State]]-Table336789101112131415[[#This Row],[2025 Rate]]</f>
        <v>0.01</v>
      </c>
    </row>
    <row r="183" spans="1:10" ht="30" x14ac:dyDescent="0.2">
      <c r="A183" s="93">
        <v>761</v>
      </c>
      <c r="B183" s="96" t="s">
        <v>246</v>
      </c>
      <c r="C183" s="95">
        <v>2014</v>
      </c>
      <c r="D183" s="96" t="s">
        <v>245</v>
      </c>
      <c r="F183" s="101">
        <v>0.1</v>
      </c>
      <c r="G183" s="103"/>
      <c r="H183" s="104"/>
      <c r="I183" s="101">
        <v>0.09</v>
      </c>
      <c r="J183" s="99">
        <f>Table336789101112131415[[#This Row],[Sched C/ County/ State]]-Table336789101112131415[[#This Row],[2025 Rate]]</f>
        <v>0.01</v>
      </c>
    </row>
    <row r="184" spans="1:10" ht="30" x14ac:dyDescent="0.2">
      <c r="A184" s="93">
        <v>762</v>
      </c>
      <c r="B184" s="94" t="s">
        <v>246</v>
      </c>
      <c r="C184" s="95">
        <v>2016</v>
      </c>
      <c r="F184" s="101">
        <v>0.1</v>
      </c>
      <c r="G184" s="105"/>
      <c r="H184" s="106"/>
      <c r="I184" s="101">
        <v>0.09</v>
      </c>
      <c r="J184" s="99">
        <f>Table336789101112131415[[#This Row],[Sched C/ County/ State]]-Table336789101112131415[[#This Row],[2025 Rate]]</f>
        <v>0.01</v>
      </c>
    </row>
    <row r="185" spans="1:10" ht="30" x14ac:dyDescent="0.2">
      <c r="A185" s="93">
        <v>765</v>
      </c>
      <c r="B185" s="94" t="s">
        <v>246</v>
      </c>
      <c r="C185" s="95">
        <v>2016</v>
      </c>
      <c r="F185" s="101">
        <v>0.1</v>
      </c>
      <c r="G185" s="105"/>
      <c r="H185" s="106"/>
      <c r="I185" s="101">
        <v>0.09</v>
      </c>
      <c r="J185" s="99">
        <f>Table336789101112131415[[#This Row],[Sched C/ County/ State]]-Table336789101112131415[[#This Row],[2025 Rate]]</f>
        <v>0.01</v>
      </c>
    </row>
    <row r="186" spans="1:10" ht="30" x14ac:dyDescent="0.2">
      <c r="A186" s="93">
        <v>766</v>
      </c>
      <c r="B186" s="94" t="s">
        <v>246</v>
      </c>
      <c r="C186" s="95">
        <v>2016</v>
      </c>
      <c r="F186" s="101">
        <v>0.1</v>
      </c>
      <c r="G186" s="105"/>
      <c r="H186" s="106"/>
      <c r="I186" s="101">
        <v>0.09</v>
      </c>
      <c r="J186" s="99">
        <f>Table336789101112131415[[#This Row],[Sched C/ County/ State]]-Table336789101112131415[[#This Row],[2025 Rate]]</f>
        <v>0.01</v>
      </c>
    </row>
    <row r="187" spans="1:10" x14ac:dyDescent="0.2">
      <c r="A187" s="93">
        <v>767</v>
      </c>
      <c r="B187" s="94" t="s">
        <v>245</v>
      </c>
      <c r="C187" s="95">
        <v>2016</v>
      </c>
      <c r="F187" s="101">
        <v>0.1</v>
      </c>
      <c r="G187" s="105"/>
      <c r="H187" s="106"/>
      <c r="I187" s="101">
        <v>0.09</v>
      </c>
      <c r="J187" s="99">
        <f>Table336789101112131415[[#This Row],[Sched C/ County/ State]]-Table336789101112131415[[#This Row],[2025 Rate]]</f>
        <v>0.01</v>
      </c>
    </row>
    <row r="188" spans="1:10" x14ac:dyDescent="0.2">
      <c r="A188" s="93">
        <v>768</v>
      </c>
      <c r="B188" s="94" t="s">
        <v>245</v>
      </c>
      <c r="C188" s="95">
        <v>2016</v>
      </c>
      <c r="F188" s="101">
        <v>0.1</v>
      </c>
      <c r="G188" s="105"/>
      <c r="H188" s="106"/>
      <c r="I188" s="101">
        <v>0.09</v>
      </c>
      <c r="J188" s="99">
        <f>Table336789101112131415[[#This Row],[Sched C/ County/ State]]-Table336789101112131415[[#This Row],[2025 Rate]]</f>
        <v>0.01</v>
      </c>
    </row>
    <row r="189" spans="1:10" x14ac:dyDescent="0.2">
      <c r="A189" s="93">
        <v>769</v>
      </c>
      <c r="B189" s="94" t="s">
        <v>245</v>
      </c>
      <c r="C189" s="95">
        <v>2016</v>
      </c>
      <c r="F189" s="101">
        <v>0.1</v>
      </c>
      <c r="G189" s="105"/>
      <c r="H189" s="106"/>
      <c r="I189" s="101">
        <v>0.09</v>
      </c>
      <c r="J189" s="99">
        <f>Table336789101112131415[[#This Row],[Sched C/ County/ State]]-Table336789101112131415[[#This Row],[2025 Rate]]</f>
        <v>0.01</v>
      </c>
    </row>
    <row r="190" spans="1:10" x14ac:dyDescent="0.2">
      <c r="A190" s="93">
        <v>770</v>
      </c>
      <c r="B190" s="94" t="s">
        <v>245</v>
      </c>
      <c r="C190" s="95">
        <v>2016</v>
      </c>
      <c r="F190" s="101">
        <v>0.1</v>
      </c>
      <c r="G190" s="105"/>
      <c r="H190" s="106"/>
      <c r="I190" s="101">
        <v>0.09</v>
      </c>
      <c r="J190" s="99">
        <f>Table336789101112131415[[#This Row],[Sched C/ County/ State]]-Table336789101112131415[[#This Row],[2025 Rate]]</f>
        <v>0.01</v>
      </c>
    </row>
    <row r="191" spans="1:10" x14ac:dyDescent="0.2">
      <c r="A191" s="93">
        <v>771</v>
      </c>
      <c r="B191" s="94" t="s">
        <v>245</v>
      </c>
      <c r="C191" s="95">
        <v>2016</v>
      </c>
      <c r="F191" s="101">
        <v>0.1</v>
      </c>
      <c r="G191" s="105"/>
      <c r="H191" s="106"/>
      <c r="I191" s="101">
        <v>0.09</v>
      </c>
      <c r="J191" s="99">
        <f>Table336789101112131415[[#This Row],[Sched C/ County/ State]]-Table336789101112131415[[#This Row],[2025 Rate]]</f>
        <v>0.01</v>
      </c>
    </row>
    <row r="192" spans="1:10" ht="30" x14ac:dyDescent="0.2">
      <c r="A192" s="93">
        <v>772</v>
      </c>
      <c r="B192" s="94" t="s">
        <v>246</v>
      </c>
      <c r="C192" s="95"/>
      <c r="F192" s="101">
        <v>0.1</v>
      </c>
      <c r="G192" s="105"/>
      <c r="H192" s="106"/>
      <c r="I192" s="101">
        <v>0.09</v>
      </c>
      <c r="J192" s="99">
        <f>Table336789101112131415[[#This Row],[Sched C/ County/ State]]-Table336789101112131415[[#This Row],[2025 Rate]]</f>
        <v>0.01</v>
      </c>
    </row>
    <row r="193" spans="1:10" ht="30" x14ac:dyDescent="0.2">
      <c r="A193" s="93">
        <v>773</v>
      </c>
      <c r="B193" s="94" t="s">
        <v>246</v>
      </c>
      <c r="C193" s="95"/>
      <c r="F193" s="101">
        <v>0.1</v>
      </c>
      <c r="G193" s="105"/>
      <c r="H193" s="106"/>
      <c r="I193" s="101">
        <v>0.09</v>
      </c>
      <c r="J193" s="99">
        <f>Table336789101112131415[[#This Row],[Sched C/ County/ State]]-Table336789101112131415[[#This Row],[2025 Rate]]</f>
        <v>0.01</v>
      </c>
    </row>
    <row r="194" spans="1:10" ht="30" x14ac:dyDescent="0.2">
      <c r="A194" s="93">
        <v>774</v>
      </c>
      <c r="B194" s="94" t="s">
        <v>246</v>
      </c>
      <c r="C194" s="95">
        <v>2020</v>
      </c>
      <c r="D194" s="96" t="s">
        <v>170</v>
      </c>
      <c r="E194" s="96" t="s">
        <v>245</v>
      </c>
      <c r="F194" s="101">
        <v>0.1</v>
      </c>
      <c r="G194" s="105"/>
      <c r="H194" s="106"/>
      <c r="I194" s="101">
        <v>0.09</v>
      </c>
      <c r="J194" s="99">
        <f>Table336789101112131415[[#This Row],[Sched C/ County/ State]]-Table336789101112131415[[#This Row],[2025 Rate]]</f>
        <v>0.01</v>
      </c>
    </row>
    <row r="195" spans="1:10" ht="30" x14ac:dyDescent="0.2">
      <c r="A195" s="93">
        <v>782</v>
      </c>
      <c r="B195" s="94" t="s">
        <v>246</v>
      </c>
      <c r="C195" s="95">
        <v>2019</v>
      </c>
      <c r="D195" s="96" t="s">
        <v>170</v>
      </c>
      <c r="E195" s="96" t="s">
        <v>245</v>
      </c>
      <c r="F195" s="101">
        <v>0.1</v>
      </c>
      <c r="G195" s="105"/>
      <c r="H195" s="106"/>
      <c r="I195" s="101">
        <v>0.09</v>
      </c>
      <c r="J195" s="99">
        <f>Table336789101112131415[[#This Row],[Sched C/ County/ State]]-Table336789101112131415[[#This Row],[2025 Rate]]</f>
        <v>0.01</v>
      </c>
    </row>
    <row r="196" spans="1:10" ht="30" x14ac:dyDescent="0.2">
      <c r="A196" s="93">
        <v>783</v>
      </c>
      <c r="B196" s="94" t="s">
        <v>246</v>
      </c>
      <c r="C196" s="95">
        <v>2019</v>
      </c>
      <c r="D196" s="96" t="s">
        <v>170</v>
      </c>
      <c r="E196" s="96" t="s">
        <v>245</v>
      </c>
      <c r="F196" s="101">
        <v>0.1</v>
      </c>
      <c r="G196" s="105"/>
      <c r="H196" s="106"/>
      <c r="I196" s="101">
        <v>0.09</v>
      </c>
      <c r="J196" s="99">
        <f>Table336789101112131415[[#This Row],[Sched C/ County/ State]]-Table336789101112131415[[#This Row],[2025 Rate]]</f>
        <v>0.01</v>
      </c>
    </row>
    <row r="197" spans="1:10" ht="30" x14ac:dyDescent="0.2">
      <c r="A197" s="93">
        <v>784</v>
      </c>
      <c r="B197" s="94" t="s">
        <v>246</v>
      </c>
      <c r="C197" s="95">
        <v>2024</v>
      </c>
      <c r="E197" s="96" t="s">
        <v>245</v>
      </c>
      <c r="F197" s="101">
        <v>0.1</v>
      </c>
      <c r="G197" s="105"/>
      <c r="H197" s="106"/>
      <c r="I197" s="101">
        <v>0.09</v>
      </c>
      <c r="J197" s="99">
        <f>Table336789101112131415[[#This Row],[Sched C/ County/ State]]-Table336789101112131415[[#This Row],[2025 Rate]]</f>
        <v>0.01</v>
      </c>
    </row>
    <row r="198" spans="1:10" ht="30" x14ac:dyDescent="0.2">
      <c r="A198" s="93">
        <v>785</v>
      </c>
      <c r="B198" s="94" t="s">
        <v>246</v>
      </c>
      <c r="C198" s="95">
        <v>2024</v>
      </c>
      <c r="E198" s="96" t="s">
        <v>245</v>
      </c>
      <c r="F198" s="101">
        <v>0.1</v>
      </c>
      <c r="G198" s="105"/>
      <c r="H198" s="106"/>
      <c r="I198" s="101">
        <v>0.09</v>
      </c>
      <c r="J198" s="99">
        <f>Table336789101112131415[[#This Row],[Sched C/ County/ State]]-Table336789101112131415[[#This Row],[2025 Rate]]</f>
        <v>0.01</v>
      </c>
    </row>
    <row r="199" spans="1:10" ht="30" x14ac:dyDescent="0.2">
      <c r="A199" s="93">
        <v>786</v>
      </c>
      <c r="B199" s="94" t="s">
        <v>246</v>
      </c>
      <c r="C199" s="95">
        <v>2024</v>
      </c>
      <c r="E199" s="96" t="s">
        <v>245</v>
      </c>
      <c r="F199" s="101">
        <v>0.1</v>
      </c>
      <c r="G199" s="105"/>
      <c r="H199" s="106"/>
      <c r="I199" s="101">
        <v>0.09</v>
      </c>
      <c r="J199" s="99">
        <f>Table336789101112131415[[#This Row],[Sched C/ County/ State]]-Table336789101112131415[[#This Row],[2025 Rate]]</f>
        <v>0.01</v>
      </c>
    </row>
    <row r="200" spans="1:10" ht="30" x14ac:dyDescent="0.2">
      <c r="A200" s="93">
        <v>787</v>
      </c>
      <c r="B200" s="94" t="s">
        <v>246</v>
      </c>
      <c r="C200" s="95">
        <v>2024</v>
      </c>
      <c r="E200" s="96" t="s">
        <v>245</v>
      </c>
      <c r="F200" s="101">
        <v>0.1</v>
      </c>
      <c r="G200" s="105"/>
      <c r="H200" s="106"/>
      <c r="I200" s="101">
        <v>0.09</v>
      </c>
      <c r="J200" s="99">
        <f>Table336789101112131415[[#This Row],[Sched C/ County/ State]]-Table336789101112131415[[#This Row],[2025 Rate]]</f>
        <v>0.01</v>
      </c>
    </row>
    <row r="201" spans="1:10" ht="30" x14ac:dyDescent="0.2">
      <c r="A201" s="93">
        <v>788</v>
      </c>
      <c r="B201" s="94" t="s">
        <v>246</v>
      </c>
      <c r="C201" s="95">
        <v>2024</v>
      </c>
      <c r="E201" s="96" t="s">
        <v>245</v>
      </c>
      <c r="F201" s="101">
        <v>0.1</v>
      </c>
      <c r="G201" s="105"/>
      <c r="H201" s="106"/>
      <c r="I201" s="101">
        <v>0.09</v>
      </c>
      <c r="J201" s="99">
        <f>Table336789101112131415[[#This Row],[Sched C/ County/ State]]-Table336789101112131415[[#This Row],[2025 Rate]]</f>
        <v>0.01</v>
      </c>
    </row>
    <row r="202" spans="1:10" ht="30" x14ac:dyDescent="0.2">
      <c r="A202" s="93">
        <v>789</v>
      </c>
      <c r="B202" s="94" t="s">
        <v>246</v>
      </c>
      <c r="C202" s="95">
        <v>2024</v>
      </c>
      <c r="E202" s="96" t="s">
        <v>245</v>
      </c>
      <c r="F202" s="101">
        <v>0.1</v>
      </c>
      <c r="G202" s="105"/>
      <c r="H202" s="106"/>
      <c r="I202" s="101">
        <v>0.09</v>
      </c>
      <c r="J202" s="99">
        <f>Table336789101112131415[[#This Row],[Sched C/ County/ State]]-Table336789101112131415[[#This Row],[2025 Rate]]</f>
        <v>0.01</v>
      </c>
    </row>
    <row r="203" spans="1:10" ht="30" x14ac:dyDescent="0.2">
      <c r="A203" s="93">
        <v>790</v>
      </c>
      <c r="B203" s="94" t="s">
        <v>246</v>
      </c>
      <c r="C203" s="95">
        <v>2024</v>
      </c>
      <c r="E203" s="96" t="s">
        <v>245</v>
      </c>
      <c r="F203" s="101">
        <v>0.1</v>
      </c>
      <c r="G203" s="105"/>
      <c r="H203" s="106"/>
      <c r="I203" s="101">
        <v>0.09</v>
      </c>
      <c r="J203" s="99">
        <f>Table336789101112131415[[#This Row],[Sched C/ County/ State]]-Table336789101112131415[[#This Row],[2025 Rate]]</f>
        <v>0.01</v>
      </c>
    </row>
    <row r="204" spans="1:10" ht="30" x14ac:dyDescent="0.2">
      <c r="A204" s="93">
        <v>791</v>
      </c>
      <c r="B204" s="94" t="s">
        <v>246</v>
      </c>
      <c r="C204" s="95">
        <v>2024</v>
      </c>
      <c r="E204" s="96" t="s">
        <v>245</v>
      </c>
      <c r="F204" s="101">
        <v>0.1</v>
      </c>
      <c r="G204" s="105"/>
      <c r="H204" s="106"/>
      <c r="I204" s="101">
        <v>0.09</v>
      </c>
      <c r="J204" s="99">
        <f>Table336789101112131415[[#This Row],[Sched C/ County/ State]]-Table336789101112131415[[#This Row],[2025 Rate]]</f>
        <v>0.01</v>
      </c>
    </row>
    <row r="205" spans="1:10" ht="30" x14ac:dyDescent="0.2">
      <c r="A205" s="93">
        <v>792</v>
      </c>
      <c r="B205" s="94" t="s">
        <v>246</v>
      </c>
      <c r="C205" s="95">
        <v>2024</v>
      </c>
      <c r="E205" s="96" t="s">
        <v>245</v>
      </c>
      <c r="F205" s="101">
        <v>0.1</v>
      </c>
      <c r="G205" s="105"/>
      <c r="H205" s="106"/>
      <c r="I205" s="101">
        <v>0.09</v>
      </c>
      <c r="J205" s="99">
        <f>Table336789101112131415[[#This Row],[Sched C/ County/ State]]-Table336789101112131415[[#This Row],[2025 Rate]]</f>
        <v>0.01</v>
      </c>
    </row>
    <row r="206" spans="1:10" ht="30" x14ac:dyDescent="0.2">
      <c r="A206" s="93">
        <v>793</v>
      </c>
      <c r="B206" s="94" t="s">
        <v>246</v>
      </c>
      <c r="C206" s="95">
        <v>2024</v>
      </c>
      <c r="E206" s="96" t="s">
        <v>245</v>
      </c>
      <c r="F206" s="101">
        <v>0.1</v>
      </c>
      <c r="G206" s="105"/>
      <c r="H206" s="106"/>
      <c r="I206" s="101">
        <v>0.09</v>
      </c>
      <c r="J206" s="99">
        <f>Table336789101112131415[[#This Row],[Sched C/ County/ State]]-Table336789101112131415[[#This Row],[2025 Rate]]</f>
        <v>0.01</v>
      </c>
    </row>
    <row r="207" spans="1:10" ht="30" x14ac:dyDescent="0.2">
      <c r="A207" s="93">
        <v>794</v>
      </c>
      <c r="B207" s="94" t="s">
        <v>246</v>
      </c>
      <c r="C207" s="95">
        <v>2024</v>
      </c>
      <c r="E207" s="96" t="s">
        <v>245</v>
      </c>
      <c r="F207" s="101">
        <v>0.1</v>
      </c>
      <c r="G207" s="105"/>
      <c r="H207" s="106"/>
      <c r="I207" s="101">
        <v>0.09</v>
      </c>
      <c r="J207" s="99">
        <f>Table336789101112131415[[#This Row],[Sched C/ County/ State]]-Table336789101112131415[[#This Row],[2025 Rate]]</f>
        <v>0.01</v>
      </c>
    </row>
    <row r="208" spans="1:10" ht="30" x14ac:dyDescent="0.2">
      <c r="A208" s="93">
        <v>795</v>
      </c>
      <c r="B208" s="94" t="s">
        <v>246</v>
      </c>
      <c r="C208" s="95">
        <v>2024</v>
      </c>
      <c r="E208" s="96" t="s">
        <v>245</v>
      </c>
      <c r="F208" s="101">
        <v>0.1</v>
      </c>
      <c r="G208" s="105"/>
      <c r="H208" s="106"/>
      <c r="I208" s="101">
        <v>0.09</v>
      </c>
      <c r="J208" s="99">
        <f>Table336789101112131415[[#This Row],[Sched C/ County/ State]]-Table336789101112131415[[#This Row],[2025 Rate]]</f>
        <v>0.01</v>
      </c>
    </row>
    <row r="209" spans="1:10" ht="30" x14ac:dyDescent="0.2">
      <c r="A209" s="93">
        <v>800</v>
      </c>
      <c r="B209" s="94" t="s">
        <v>246</v>
      </c>
      <c r="C209" s="95">
        <v>2015</v>
      </c>
      <c r="E209" s="96" t="s">
        <v>245</v>
      </c>
      <c r="F209" s="101">
        <v>0.1</v>
      </c>
      <c r="G209" s="105"/>
      <c r="H209" s="106"/>
      <c r="I209" s="101">
        <v>0.09</v>
      </c>
      <c r="J209" s="99">
        <f>Table336789101112131415[[#This Row],[Sched C/ County/ State]]-Table336789101112131415[[#This Row],[2025 Rate]]</f>
        <v>0.01</v>
      </c>
    </row>
    <row r="210" spans="1:10" ht="30" x14ac:dyDescent="0.2">
      <c r="A210" s="93">
        <v>801</v>
      </c>
      <c r="B210" s="94" t="s">
        <v>246</v>
      </c>
      <c r="C210" s="95">
        <v>2015</v>
      </c>
      <c r="E210" s="96" t="s">
        <v>245</v>
      </c>
      <c r="F210" s="101">
        <v>0.1</v>
      </c>
      <c r="G210" s="105"/>
      <c r="H210" s="106"/>
      <c r="I210" s="101">
        <v>0.09</v>
      </c>
      <c r="J210" s="99">
        <f>Table336789101112131415[[#This Row],[Sched C/ County/ State]]-Table336789101112131415[[#This Row],[2025 Rate]]</f>
        <v>0.01</v>
      </c>
    </row>
    <row r="211" spans="1:10" ht="30" x14ac:dyDescent="0.2">
      <c r="A211" s="93">
        <v>802</v>
      </c>
      <c r="B211" s="94" t="s">
        <v>246</v>
      </c>
      <c r="C211" s="95">
        <v>2015</v>
      </c>
      <c r="E211" s="96" t="s">
        <v>245</v>
      </c>
      <c r="F211" s="101">
        <v>0.1</v>
      </c>
      <c r="G211" s="105"/>
      <c r="H211" s="106"/>
      <c r="I211" s="101">
        <v>0.09</v>
      </c>
      <c r="J211" s="99">
        <f>Table336789101112131415[[#This Row],[Sched C/ County/ State]]-Table336789101112131415[[#This Row],[2025 Rate]]</f>
        <v>0.01</v>
      </c>
    </row>
    <row r="212" spans="1:10" ht="30" x14ac:dyDescent="0.2">
      <c r="A212" s="93">
        <v>803</v>
      </c>
      <c r="B212" s="94" t="s">
        <v>246</v>
      </c>
      <c r="C212" s="95">
        <v>2018</v>
      </c>
      <c r="D212" s="96" t="s">
        <v>245</v>
      </c>
      <c r="E212" s="96" t="s">
        <v>245</v>
      </c>
      <c r="F212" s="101">
        <v>0.1</v>
      </c>
      <c r="G212" s="103"/>
      <c r="H212" s="104"/>
      <c r="I212" s="101">
        <v>0.09</v>
      </c>
      <c r="J212" s="99">
        <f>Table336789101112131415[[#This Row],[Sched C/ County/ State]]-Table336789101112131415[[#This Row],[2025 Rate]]</f>
        <v>0.01</v>
      </c>
    </row>
    <row r="213" spans="1:10" ht="30" x14ac:dyDescent="0.2">
      <c r="A213" s="93">
        <v>804</v>
      </c>
      <c r="B213" s="94" t="s">
        <v>246</v>
      </c>
      <c r="C213" s="95">
        <v>2019</v>
      </c>
      <c r="D213" s="96" t="s">
        <v>245</v>
      </c>
      <c r="E213" s="96" t="s">
        <v>245</v>
      </c>
      <c r="F213" s="101">
        <v>0.1</v>
      </c>
      <c r="G213" s="103"/>
      <c r="H213" s="104"/>
      <c r="I213" s="101">
        <v>0.09</v>
      </c>
      <c r="J213" s="99">
        <f>Table336789101112131415[[#This Row],[Sched C/ County/ State]]-Table336789101112131415[[#This Row],[2025 Rate]]</f>
        <v>0.01</v>
      </c>
    </row>
    <row r="214" spans="1:10" ht="30" x14ac:dyDescent="0.2">
      <c r="A214" s="93">
        <v>806</v>
      </c>
      <c r="B214" s="94" t="s">
        <v>246</v>
      </c>
      <c r="C214" s="95">
        <v>2020</v>
      </c>
      <c r="D214" s="96" t="s">
        <v>245</v>
      </c>
      <c r="E214" s="96" t="s">
        <v>245</v>
      </c>
      <c r="F214" s="101">
        <v>0.1</v>
      </c>
      <c r="G214" s="103"/>
      <c r="H214" s="104"/>
      <c r="I214" s="101">
        <v>0.09</v>
      </c>
      <c r="J214" s="99">
        <f>Table336789101112131415[[#This Row],[Sched C/ County/ State]]-Table336789101112131415[[#This Row],[2025 Rate]]</f>
        <v>0.01</v>
      </c>
    </row>
    <row r="215" spans="1:10" ht="30" x14ac:dyDescent="0.2">
      <c r="A215" s="93">
        <v>807</v>
      </c>
      <c r="B215" s="94" t="s">
        <v>246</v>
      </c>
      <c r="C215" s="95"/>
      <c r="E215" s="96" t="s">
        <v>245</v>
      </c>
      <c r="F215" s="101">
        <v>0.1</v>
      </c>
      <c r="G215" s="103"/>
      <c r="H215" s="104"/>
      <c r="I215" s="101">
        <v>0.09</v>
      </c>
      <c r="J215" s="99">
        <f>Table336789101112131415[[#This Row],[Sched C/ County/ State]]-Table336789101112131415[[#This Row],[2025 Rate]]</f>
        <v>0.01</v>
      </c>
    </row>
    <row r="216" spans="1:10" ht="30" x14ac:dyDescent="0.2">
      <c r="A216" s="93">
        <v>808</v>
      </c>
      <c r="B216" s="94" t="s">
        <v>246</v>
      </c>
      <c r="C216" s="95">
        <v>2019</v>
      </c>
      <c r="D216" s="96" t="s">
        <v>245</v>
      </c>
      <c r="E216" s="96" t="s">
        <v>245</v>
      </c>
      <c r="F216" s="101">
        <v>0.1</v>
      </c>
      <c r="G216" s="103"/>
      <c r="H216" s="104"/>
      <c r="I216" s="101">
        <v>0.09</v>
      </c>
      <c r="J216" s="99">
        <f>Table336789101112131415[[#This Row],[Sched C/ County/ State]]-Table336789101112131415[[#This Row],[2025 Rate]]</f>
        <v>0.01</v>
      </c>
    </row>
    <row r="217" spans="1:10" ht="30" x14ac:dyDescent="0.2">
      <c r="A217" s="93">
        <v>809</v>
      </c>
      <c r="B217" s="94" t="s">
        <v>246</v>
      </c>
      <c r="C217" s="95"/>
      <c r="E217" s="96" t="s">
        <v>245</v>
      </c>
      <c r="F217" s="101">
        <v>0.1</v>
      </c>
      <c r="G217" s="103"/>
      <c r="H217" s="104"/>
      <c r="I217" s="101">
        <v>0.09</v>
      </c>
      <c r="J217" s="99">
        <f>Table336789101112131415[[#This Row],[Sched C/ County/ State]]-Table336789101112131415[[#This Row],[2025 Rate]]</f>
        <v>0.01</v>
      </c>
    </row>
    <row r="218" spans="1:10" ht="30" x14ac:dyDescent="0.2">
      <c r="A218" s="93">
        <v>811</v>
      </c>
      <c r="B218" s="94" t="s">
        <v>246</v>
      </c>
      <c r="C218" s="95">
        <v>2020</v>
      </c>
      <c r="D218" s="96" t="s">
        <v>245</v>
      </c>
      <c r="E218" s="96" t="s">
        <v>245</v>
      </c>
      <c r="F218" s="101">
        <v>0.1</v>
      </c>
      <c r="G218" s="103"/>
      <c r="H218" s="104"/>
      <c r="I218" s="101">
        <v>0.09</v>
      </c>
      <c r="J218" s="99">
        <f>Table336789101112131415[[#This Row],[Sched C/ County/ State]]-Table336789101112131415[[#This Row],[2025 Rate]]</f>
        <v>0.01</v>
      </c>
    </row>
    <row r="219" spans="1:10" ht="30" x14ac:dyDescent="0.2">
      <c r="A219" s="93">
        <v>812</v>
      </c>
      <c r="B219" s="94" t="s">
        <v>246</v>
      </c>
      <c r="C219" s="95">
        <v>2020</v>
      </c>
      <c r="D219" s="96" t="s">
        <v>245</v>
      </c>
      <c r="E219" s="96" t="s">
        <v>245</v>
      </c>
      <c r="F219" s="101">
        <v>0.1</v>
      </c>
      <c r="G219" s="103"/>
      <c r="H219" s="104"/>
      <c r="I219" s="101">
        <v>0.09</v>
      </c>
      <c r="J219" s="99">
        <f>Table336789101112131415[[#This Row],[Sched C/ County/ State]]-Table336789101112131415[[#This Row],[2025 Rate]]</f>
        <v>0.01</v>
      </c>
    </row>
    <row r="220" spans="1:10" x14ac:dyDescent="0.2">
      <c r="A220" s="93">
        <v>815</v>
      </c>
      <c r="B220" s="94" t="s">
        <v>243</v>
      </c>
      <c r="C220" s="95">
        <v>2019</v>
      </c>
      <c r="D220" s="96" t="s">
        <v>243</v>
      </c>
      <c r="E220" s="96" t="s">
        <v>245</v>
      </c>
      <c r="F220" s="101">
        <v>0.1</v>
      </c>
      <c r="G220" s="103"/>
      <c r="H220" s="104"/>
      <c r="I220" s="101">
        <v>0.09</v>
      </c>
      <c r="J220" s="99">
        <f>Table336789101112131415[[#This Row],[Sched C/ County/ State]]-Table336789101112131415[[#This Row],[2025 Rate]]</f>
        <v>0.01</v>
      </c>
    </row>
    <row r="221" spans="1:10" x14ac:dyDescent="0.2">
      <c r="A221" s="93">
        <v>816</v>
      </c>
      <c r="B221" s="94" t="s">
        <v>243</v>
      </c>
      <c r="C221" s="95">
        <v>2019</v>
      </c>
      <c r="D221" s="96" t="s">
        <v>243</v>
      </c>
      <c r="E221" s="96" t="s">
        <v>245</v>
      </c>
      <c r="F221" s="101">
        <v>0.1</v>
      </c>
      <c r="G221" s="103"/>
      <c r="H221" s="104"/>
      <c r="I221" s="101">
        <v>0.09</v>
      </c>
      <c r="J221" s="99">
        <f>Table336789101112131415[[#This Row],[Sched C/ County/ State]]-Table336789101112131415[[#This Row],[2025 Rate]]</f>
        <v>0.01</v>
      </c>
    </row>
    <row r="222" spans="1:10" x14ac:dyDescent="0.2">
      <c r="A222" s="93">
        <v>817</v>
      </c>
      <c r="B222" s="94" t="s">
        <v>243</v>
      </c>
      <c r="C222" s="95">
        <v>2019</v>
      </c>
      <c r="D222" s="96" t="s">
        <v>243</v>
      </c>
      <c r="E222" s="96" t="s">
        <v>245</v>
      </c>
      <c r="F222" s="101">
        <v>0.1</v>
      </c>
      <c r="G222" s="103"/>
      <c r="H222" s="104"/>
      <c r="I222" s="101">
        <v>0.09</v>
      </c>
      <c r="J222" s="99">
        <f>Table336789101112131415[[#This Row],[Sched C/ County/ State]]-Table336789101112131415[[#This Row],[2025 Rate]]</f>
        <v>0.01</v>
      </c>
    </row>
    <row r="223" spans="1:10" x14ac:dyDescent="0.2">
      <c r="A223" s="93">
        <v>821</v>
      </c>
      <c r="B223" s="96" t="s">
        <v>243</v>
      </c>
      <c r="C223" s="95"/>
      <c r="E223" s="96" t="s">
        <v>245</v>
      </c>
      <c r="F223" s="101">
        <v>0.1</v>
      </c>
      <c r="G223" s="103"/>
      <c r="H223" s="104"/>
      <c r="I223" s="101">
        <v>0.09</v>
      </c>
      <c r="J223" s="99">
        <f>Table336789101112131415[[#This Row],[Sched C/ County/ State]]-Table336789101112131415[[#This Row],[2025 Rate]]</f>
        <v>0.01</v>
      </c>
    </row>
    <row r="224" spans="1:10" x14ac:dyDescent="0.2">
      <c r="A224" s="93">
        <v>823</v>
      </c>
      <c r="B224" s="94" t="s">
        <v>243</v>
      </c>
      <c r="C224" s="95">
        <v>2020</v>
      </c>
      <c r="D224" s="96" t="s">
        <v>243</v>
      </c>
      <c r="E224" s="96" t="s">
        <v>245</v>
      </c>
      <c r="F224" s="101">
        <v>0.1</v>
      </c>
      <c r="G224" s="103"/>
      <c r="H224" s="104"/>
      <c r="I224" s="101">
        <v>0.09</v>
      </c>
      <c r="J224" s="99">
        <f>Table336789101112131415[[#This Row],[Sched C/ County/ State]]-Table336789101112131415[[#This Row],[2025 Rate]]</f>
        <v>0.01</v>
      </c>
    </row>
    <row r="225" spans="1:10" x14ac:dyDescent="0.2">
      <c r="A225" s="93">
        <v>824</v>
      </c>
      <c r="B225" s="96" t="s">
        <v>243</v>
      </c>
      <c r="C225" s="95">
        <v>2010</v>
      </c>
      <c r="E225" s="96" t="s">
        <v>245</v>
      </c>
      <c r="F225" s="101">
        <v>0.1</v>
      </c>
      <c r="G225" s="103"/>
      <c r="H225" s="104"/>
      <c r="I225" s="101">
        <v>0.09</v>
      </c>
      <c r="J225" s="99">
        <f>Table336789101112131415[[#This Row],[Sched C/ County/ State]]-Table336789101112131415[[#This Row],[2025 Rate]]</f>
        <v>0.01</v>
      </c>
    </row>
    <row r="226" spans="1:10" ht="30" x14ac:dyDescent="0.2">
      <c r="A226" s="93">
        <v>829</v>
      </c>
      <c r="B226" s="94" t="s">
        <v>246</v>
      </c>
      <c r="C226" s="95">
        <v>2024</v>
      </c>
      <c r="D226" s="96" t="s">
        <v>243</v>
      </c>
      <c r="E226" s="96" t="s">
        <v>245</v>
      </c>
      <c r="F226" s="101">
        <v>0.1</v>
      </c>
      <c r="G226" s="105"/>
      <c r="H226" s="104"/>
      <c r="I226" s="101">
        <v>0.09</v>
      </c>
      <c r="J226" s="99">
        <f>Table336789101112131415[[#This Row],[Sched C/ County/ State]]-Table336789101112131415[[#This Row],[2025 Rate]]</f>
        <v>0.01</v>
      </c>
    </row>
    <row r="227" spans="1:10" x14ac:dyDescent="0.2">
      <c r="A227" s="93">
        <v>833</v>
      </c>
      <c r="B227" s="96" t="s">
        <v>243</v>
      </c>
      <c r="C227" s="95">
        <v>2011</v>
      </c>
      <c r="E227" s="96" t="s">
        <v>245</v>
      </c>
      <c r="F227" s="101">
        <v>0.1</v>
      </c>
      <c r="G227" s="103"/>
      <c r="H227" s="104"/>
      <c r="I227" s="101">
        <v>0.09</v>
      </c>
      <c r="J227" s="99">
        <f>Table336789101112131415[[#This Row],[Sched C/ County/ State]]-Table336789101112131415[[#This Row],[2025 Rate]]</f>
        <v>0.01</v>
      </c>
    </row>
    <row r="228" spans="1:10" x14ac:dyDescent="0.2">
      <c r="A228" s="93">
        <v>840</v>
      </c>
      <c r="B228" s="96" t="s">
        <v>243</v>
      </c>
      <c r="C228" s="95">
        <v>2013</v>
      </c>
      <c r="E228" s="96" t="s">
        <v>245</v>
      </c>
      <c r="F228" s="101">
        <v>0.1</v>
      </c>
      <c r="G228" s="103"/>
      <c r="H228" s="104"/>
      <c r="I228" s="101">
        <v>0.09</v>
      </c>
      <c r="J228" s="99">
        <f>Table336789101112131415[[#This Row],[Sched C/ County/ State]]-Table336789101112131415[[#This Row],[2025 Rate]]</f>
        <v>0.01</v>
      </c>
    </row>
    <row r="229" spans="1:10" ht="30" x14ac:dyDescent="0.2">
      <c r="A229" s="93">
        <v>851</v>
      </c>
      <c r="B229" s="94" t="s">
        <v>246</v>
      </c>
      <c r="C229" s="95">
        <v>2018</v>
      </c>
      <c r="D229" s="96" t="s">
        <v>245</v>
      </c>
      <c r="E229" s="96" t="s">
        <v>245</v>
      </c>
      <c r="F229" s="101">
        <v>0.1</v>
      </c>
      <c r="G229" s="103"/>
      <c r="H229" s="104"/>
      <c r="I229" s="101">
        <v>0.09</v>
      </c>
      <c r="J229" s="99">
        <f>Table336789101112131415[[#This Row],[Sched C/ County/ State]]-Table336789101112131415[[#This Row],[2025 Rate]]</f>
        <v>0.01</v>
      </c>
    </row>
    <row r="230" spans="1:10" ht="30" x14ac:dyDescent="0.2">
      <c r="A230" s="93">
        <v>853</v>
      </c>
      <c r="B230" s="94" t="s">
        <v>244</v>
      </c>
      <c r="C230" s="95">
        <v>2017</v>
      </c>
      <c r="E230" s="96" t="s">
        <v>245</v>
      </c>
      <c r="F230" s="101">
        <v>0.1</v>
      </c>
      <c r="G230" s="105"/>
      <c r="H230" s="106"/>
      <c r="I230" s="101">
        <v>0.09</v>
      </c>
      <c r="J230" s="99">
        <f>Table336789101112131415[[#This Row],[Sched C/ County/ State]]-Table336789101112131415[[#This Row],[2025 Rate]]</f>
        <v>0.01</v>
      </c>
    </row>
    <row r="231" spans="1:10" ht="30" x14ac:dyDescent="0.2">
      <c r="A231" s="93">
        <v>855</v>
      </c>
      <c r="B231" s="94" t="s">
        <v>244</v>
      </c>
      <c r="C231" s="95">
        <v>2017</v>
      </c>
      <c r="E231" s="96" t="s">
        <v>245</v>
      </c>
      <c r="F231" s="101">
        <v>0.1</v>
      </c>
      <c r="G231" s="105"/>
      <c r="H231" s="106"/>
      <c r="I231" s="101">
        <v>0.09</v>
      </c>
      <c r="J231" s="99">
        <f>Table336789101112131415[[#This Row],[Sched C/ County/ State]]-Table336789101112131415[[#This Row],[2025 Rate]]</f>
        <v>0.01</v>
      </c>
    </row>
    <row r="232" spans="1:10" ht="30" x14ac:dyDescent="0.2">
      <c r="A232" s="93">
        <v>856</v>
      </c>
      <c r="B232" s="94" t="s">
        <v>244</v>
      </c>
      <c r="C232" s="95">
        <v>2017</v>
      </c>
      <c r="E232" s="96" t="s">
        <v>245</v>
      </c>
      <c r="F232" s="101">
        <v>0.1</v>
      </c>
      <c r="G232" s="105"/>
      <c r="H232" s="106"/>
      <c r="I232" s="101">
        <v>0.09</v>
      </c>
      <c r="J232" s="99">
        <f>Table336789101112131415[[#This Row],[Sched C/ County/ State]]-Table336789101112131415[[#This Row],[2025 Rate]]</f>
        <v>0.01</v>
      </c>
    </row>
    <row r="233" spans="1:10" ht="30" x14ac:dyDescent="0.2">
      <c r="A233" s="93">
        <v>857</v>
      </c>
      <c r="B233" s="94" t="s">
        <v>244</v>
      </c>
      <c r="C233" s="95">
        <v>2017</v>
      </c>
      <c r="E233" s="96" t="s">
        <v>245</v>
      </c>
      <c r="F233" s="101">
        <v>0.1</v>
      </c>
      <c r="G233" s="105"/>
      <c r="H233" s="106"/>
      <c r="I233" s="101">
        <v>0.09</v>
      </c>
      <c r="J233" s="99">
        <f>Table336789101112131415[[#This Row],[Sched C/ County/ State]]-Table336789101112131415[[#This Row],[2025 Rate]]</f>
        <v>0.01</v>
      </c>
    </row>
    <row r="234" spans="1:10" ht="30" x14ac:dyDescent="0.2">
      <c r="A234" s="93">
        <v>858</v>
      </c>
      <c r="B234" s="94" t="s">
        <v>244</v>
      </c>
      <c r="C234" s="95">
        <v>2017</v>
      </c>
      <c r="E234" s="96" t="s">
        <v>245</v>
      </c>
      <c r="F234" s="101">
        <v>0.1</v>
      </c>
      <c r="G234" s="105"/>
      <c r="H234" s="106"/>
      <c r="I234" s="101">
        <v>0.09</v>
      </c>
      <c r="J234" s="99">
        <f>Table336789101112131415[[#This Row],[Sched C/ County/ State]]-Table336789101112131415[[#This Row],[2025 Rate]]</f>
        <v>0.01</v>
      </c>
    </row>
    <row r="235" spans="1:10" ht="30" x14ac:dyDescent="0.2">
      <c r="A235" s="93">
        <v>859</v>
      </c>
      <c r="B235" s="94" t="s">
        <v>244</v>
      </c>
      <c r="C235" s="95">
        <v>2023</v>
      </c>
      <c r="D235" s="96" t="s">
        <v>245</v>
      </c>
      <c r="E235" s="96" t="s">
        <v>245</v>
      </c>
      <c r="F235" s="101">
        <v>0.1</v>
      </c>
      <c r="G235" s="105"/>
      <c r="H235" s="104"/>
      <c r="I235" s="101">
        <v>0.09</v>
      </c>
      <c r="J235" s="99">
        <f>Table336789101112131415[[#This Row],[Sched C/ County/ State]]-Table336789101112131415[[#This Row],[2025 Rate]]</f>
        <v>0.01</v>
      </c>
    </row>
    <row r="236" spans="1:10" ht="30" x14ac:dyDescent="0.2">
      <c r="A236" s="93">
        <v>860</v>
      </c>
      <c r="B236" s="94" t="s">
        <v>244</v>
      </c>
      <c r="C236" s="95">
        <v>2023</v>
      </c>
      <c r="D236" s="96" t="s">
        <v>245</v>
      </c>
      <c r="E236" s="96" t="s">
        <v>245</v>
      </c>
      <c r="F236" s="101">
        <v>0.1</v>
      </c>
      <c r="G236" s="105"/>
      <c r="H236" s="104"/>
      <c r="I236" s="101">
        <v>0.09</v>
      </c>
      <c r="J236" s="99">
        <f>Table336789101112131415[[#This Row],[Sched C/ County/ State]]-Table336789101112131415[[#This Row],[2025 Rate]]</f>
        <v>0.01</v>
      </c>
    </row>
    <row r="237" spans="1:10" ht="30" x14ac:dyDescent="0.2">
      <c r="A237" s="93">
        <v>861</v>
      </c>
      <c r="B237" s="94" t="s">
        <v>244</v>
      </c>
      <c r="C237" s="95">
        <v>2023</v>
      </c>
      <c r="D237" s="96" t="s">
        <v>245</v>
      </c>
      <c r="E237" s="96" t="s">
        <v>245</v>
      </c>
      <c r="F237" s="101">
        <v>0.1</v>
      </c>
      <c r="G237" s="105"/>
      <c r="H237" s="104"/>
      <c r="I237" s="101">
        <v>0.09</v>
      </c>
      <c r="J237" s="99">
        <f>Table336789101112131415[[#This Row],[Sched C/ County/ State]]-Table336789101112131415[[#This Row],[2025 Rate]]</f>
        <v>0.01</v>
      </c>
    </row>
    <row r="238" spans="1:10" ht="30" x14ac:dyDescent="0.2">
      <c r="A238" s="93">
        <v>862</v>
      </c>
      <c r="B238" s="94" t="s">
        <v>246</v>
      </c>
      <c r="C238" s="95">
        <v>2019</v>
      </c>
      <c r="D238" s="96" t="s">
        <v>170</v>
      </c>
      <c r="E238" s="96" t="s">
        <v>245</v>
      </c>
      <c r="F238" s="101">
        <v>0.1</v>
      </c>
      <c r="G238" s="103"/>
      <c r="H238" s="104"/>
      <c r="I238" s="101">
        <v>0.09</v>
      </c>
      <c r="J238" s="99">
        <f>Table336789101112131415[[#This Row],[Sched C/ County/ State]]-Table336789101112131415[[#This Row],[2025 Rate]]</f>
        <v>0.01</v>
      </c>
    </row>
    <row r="239" spans="1:10" ht="30" x14ac:dyDescent="0.2">
      <c r="A239" s="93">
        <v>863</v>
      </c>
      <c r="B239" s="94" t="s">
        <v>246</v>
      </c>
      <c r="C239" s="95">
        <v>2019</v>
      </c>
      <c r="D239" s="96" t="s">
        <v>170</v>
      </c>
      <c r="E239" s="96" t="s">
        <v>245</v>
      </c>
      <c r="F239" s="101">
        <v>0.1</v>
      </c>
      <c r="G239" s="103"/>
      <c r="H239" s="104"/>
      <c r="I239" s="101">
        <v>0.09</v>
      </c>
      <c r="J239" s="99">
        <f>Table336789101112131415[[#This Row],[Sched C/ County/ State]]-Table336789101112131415[[#This Row],[2025 Rate]]</f>
        <v>0.01</v>
      </c>
    </row>
    <row r="240" spans="1:10" ht="30" x14ac:dyDescent="0.2">
      <c r="A240" s="93">
        <v>864</v>
      </c>
      <c r="B240" s="94" t="s">
        <v>246</v>
      </c>
      <c r="C240" s="95">
        <v>2019</v>
      </c>
      <c r="D240" s="96" t="s">
        <v>170</v>
      </c>
      <c r="E240" s="96" t="s">
        <v>245</v>
      </c>
      <c r="F240" s="101">
        <v>0.1</v>
      </c>
      <c r="G240" s="103"/>
      <c r="H240" s="104"/>
      <c r="I240" s="101">
        <v>0.09</v>
      </c>
      <c r="J240" s="99">
        <f>Table336789101112131415[[#This Row],[Sched C/ County/ State]]-Table336789101112131415[[#This Row],[2025 Rate]]</f>
        <v>0.01</v>
      </c>
    </row>
    <row r="241" spans="1:10" ht="30" x14ac:dyDescent="0.2">
      <c r="A241" s="93">
        <v>865</v>
      </c>
      <c r="B241" s="94" t="s">
        <v>246</v>
      </c>
      <c r="C241" s="95">
        <v>2019</v>
      </c>
      <c r="D241" s="96" t="s">
        <v>170</v>
      </c>
      <c r="E241" s="96" t="s">
        <v>245</v>
      </c>
      <c r="F241" s="101">
        <v>0.1</v>
      </c>
      <c r="G241" s="103"/>
      <c r="H241" s="104"/>
      <c r="I241" s="101">
        <v>0.09</v>
      </c>
      <c r="J241" s="99">
        <f>Table336789101112131415[[#This Row],[Sched C/ County/ State]]-Table336789101112131415[[#This Row],[2025 Rate]]</f>
        <v>0.01</v>
      </c>
    </row>
    <row r="242" spans="1:10" ht="30" x14ac:dyDescent="0.2">
      <c r="A242" s="93">
        <v>866</v>
      </c>
      <c r="B242" s="94" t="s">
        <v>246</v>
      </c>
      <c r="C242" s="95">
        <v>2019</v>
      </c>
      <c r="D242" s="96" t="s">
        <v>170</v>
      </c>
      <c r="E242" s="96" t="s">
        <v>245</v>
      </c>
      <c r="F242" s="101">
        <v>0.1</v>
      </c>
      <c r="G242" s="103"/>
      <c r="H242" s="104"/>
      <c r="I242" s="101">
        <v>0.09</v>
      </c>
      <c r="J242" s="99">
        <f>Table336789101112131415[[#This Row],[Sched C/ County/ State]]-Table336789101112131415[[#This Row],[2025 Rate]]</f>
        <v>0.01</v>
      </c>
    </row>
    <row r="243" spans="1:10" ht="30" x14ac:dyDescent="0.2">
      <c r="A243" s="93">
        <v>867</v>
      </c>
      <c r="B243" s="94" t="s">
        <v>246</v>
      </c>
      <c r="C243" s="95">
        <v>2019</v>
      </c>
      <c r="D243" s="96" t="s">
        <v>170</v>
      </c>
      <c r="E243" s="96" t="s">
        <v>245</v>
      </c>
      <c r="F243" s="101">
        <v>0.1</v>
      </c>
      <c r="G243" s="103"/>
      <c r="H243" s="104"/>
      <c r="I243" s="101">
        <v>0.09</v>
      </c>
      <c r="J243" s="99">
        <f>Table336789101112131415[[#This Row],[Sched C/ County/ State]]-Table336789101112131415[[#This Row],[2025 Rate]]</f>
        <v>0.01</v>
      </c>
    </row>
    <row r="244" spans="1:10" ht="30" x14ac:dyDescent="0.2">
      <c r="A244" s="93">
        <v>869</v>
      </c>
      <c r="B244" s="94" t="s">
        <v>246</v>
      </c>
      <c r="C244" s="95">
        <v>2020</v>
      </c>
      <c r="D244" s="96" t="s">
        <v>170</v>
      </c>
      <c r="E244" s="96" t="s">
        <v>245</v>
      </c>
      <c r="F244" s="101">
        <v>0.1</v>
      </c>
      <c r="G244" s="103"/>
      <c r="H244" s="104"/>
      <c r="I244" s="101">
        <v>0.09</v>
      </c>
      <c r="J244" s="99">
        <f>Table336789101112131415[[#This Row],[Sched C/ County/ State]]-Table336789101112131415[[#This Row],[2025 Rate]]</f>
        <v>0.01</v>
      </c>
    </row>
    <row r="245" spans="1:10" ht="30" x14ac:dyDescent="0.2">
      <c r="A245" s="93">
        <v>870</v>
      </c>
      <c r="B245" s="94" t="s">
        <v>246</v>
      </c>
      <c r="C245" s="95">
        <v>2020</v>
      </c>
      <c r="D245" s="96" t="s">
        <v>170</v>
      </c>
      <c r="E245" s="96" t="s">
        <v>245</v>
      </c>
      <c r="F245" s="101">
        <v>0.1</v>
      </c>
      <c r="G245" s="105"/>
      <c r="H245" s="104"/>
      <c r="I245" s="101">
        <v>0.09</v>
      </c>
      <c r="J245" s="99">
        <f>Table336789101112131415[[#This Row],[Sched C/ County/ State]]-Table336789101112131415[[#This Row],[2025 Rate]]</f>
        <v>0.01</v>
      </c>
    </row>
    <row r="246" spans="1:10" ht="30" x14ac:dyDescent="0.2">
      <c r="A246" s="93">
        <v>871</v>
      </c>
      <c r="B246" s="94" t="s">
        <v>246</v>
      </c>
      <c r="C246" s="95">
        <v>2020</v>
      </c>
      <c r="D246" s="96" t="s">
        <v>170</v>
      </c>
      <c r="E246" s="96" t="s">
        <v>245</v>
      </c>
      <c r="F246" s="101">
        <v>0.1</v>
      </c>
      <c r="G246" s="105"/>
      <c r="H246" s="104"/>
      <c r="I246" s="101">
        <v>0.09</v>
      </c>
      <c r="J246" s="99">
        <f>Table336789101112131415[[#This Row],[Sched C/ County/ State]]-Table336789101112131415[[#This Row],[2025 Rate]]</f>
        <v>0.01</v>
      </c>
    </row>
    <row r="247" spans="1:10" ht="30" x14ac:dyDescent="0.2">
      <c r="A247" s="93">
        <v>872</v>
      </c>
      <c r="B247" s="94" t="s">
        <v>246</v>
      </c>
      <c r="C247" s="95">
        <v>2020</v>
      </c>
      <c r="D247" s="96" t="s">
        <v>170</v>
      </c>
      <c r="E247" s="96" t="s">
        <v>245</v>
      </c>
      <c r="F247" s="101">
        <v>0.1</v>
      </c>
      <c r="G247" s="105"/>
      <c r="H247" s="104"/>
      <c r="I247" s="101">
        <v>0.09</v>
      </c>
      <c r="J247" s="99">
        <f>Table336789101112131415[[#This Row],[Sched C/ County/ State]]-Table336789101112131415[[#This Row],[2025 Rate]]</f>
        <v>0.01</v>
      </c>
    </row>
    <row r="248" spans="1:10" ht="30" x14ac:dyDescent="0.2">
      <c r="A248" s="93">
        <v>873</v>
      </c>
      <c r="B248" s="94" t="s">
        <v>246</v>
      </c>
      <c r="C248" s="95">
        <v>2020</v>
      </c>
      <c r="D248" s="96" t="s">
        <v>170</v>
      </c>
      <c r="E248" s="96" t="s">
        <v>245</v>
      </c>
      <c r="F248" s="101">
        <v>0.1</v>
      </c>
      <c r="G248" s="105"/>
      <c r="H248" s="104"/>
      <c r="I248" s="101">
        <v>0.09</v>
      </c>
      <c r="J248" s="99">
        <f>Table336789101112131415[[#This Row],[Sched C/ County/ State]]-Table336789101112131415[[#This Row],[2025 Rate]]</f>
        <v>0.01</v>
      </c>
    </row>
    <row r="249" spans="1:10" ht="30" x14ac:dyDescent="0.2">
      <c r="A249" s="93">
        <v>874</v>
      </c>
      <c r="B249" s="94" t="s">
        <v>246</v>
      </c>
      <c r="C249" s="95">
        <v>2020</v>
      </c>
      <c r="D249" s="96" t="s">
        <v>170</v>
      </c>
      <c r="E249" s="96" t="s">
        <v>245</v>
      </c>
      <c r="F249" s="101">
        <v>0.1</v>
      </c>
      <c r="G249" s="105"/>
      <c r="H249" s="104"/>
      <c r="I249" s="101">
        <v>0.09</v>
      </c>
      <c r="J249" s="99">
        <f>Table336789101112131415[[#This Row],[Sched C/ County/ State]]-Table336789101112131415[[#This Row],[2025 Rate]]</f>
        <v>0.01</v>
      </c>
    </row>
    <row r="250" spans="1:10" ht="30" x14ac:dyDescent="0.2">
      <c r="A250" s="93">
        <v>875</v>
      </c>
      <c r="B250" s="94" t="s">
        <v>246</v>
      </c>
      <c r="C250" s="95">
        <v>2020</v>
      </c>
      <c r="D250" s="96" t="s">
        <v>170</v>
      </c>
      <c r="E250" s="96" t="s">
        <v>245</v>
      </c>
      <c r="F250" s="101">
        <v>0.1</v>
      </c>
      <c r="G250" s="105"/>
      <c r="H250" s="104"/>
      <c r="I250" s="101">
        <v>0.09</v>
      </c>
      <c r="J250" s="99">
        <f>Table336789101112131415[[#This Row],[Sched C/ County/ State]]-Table336789101112131415[[#This Row],[2025 Rate]]</f>
        <v>0.01</v>
      </c>
    </row>
    <row r="251" spans="1:10" ht="30" x14ac:dyDescent="0.2">
      <c r="A251" s="93">
        <v>876</v>
      </c>
      <c r="B251" s="94" t="s">
        <v>246</v>
      </c>
      <c r="C251" s="95">
        <v>2021</v>
      </c>
      <c r="D251" s="96" t="s">
        <v>170</v>
      </c>
      <c r="E251" s="96" t="s">
        <v>245</v>
      </c>
      <c r="F251" s="101">
        <v>0.1</v>
      </c>
      <c r="G251" s="105"/>
      <c r="H251" s="104"/>
      <c r="I251" s="101">
        <v>0.09</v>
      </c>
      <c r="J251" s="99">
        <f>Table336789101112131415[[#This Row],[Sched C/ County/ State]]-Table336789101112131415[[#This Row],[2025 Rate]]</f>
        <v>0.01</v>
      </c>
    </row>
    <row r="252" spans="1:10" ht="30" x14ac:dyDescent="0.2">
      <c r="A252" s="93">
        <v>877</v>
      </c>
      <c r="B252" s="94" t="s">
        <v>246</v>
      </c>
      <c r="C252" s="95">
        <v>2021</v>
      </c>
      <c r="D252" s="96" t="s">
        <v>170</v>
      </c>
      <c r="E252" s="96" t="s">
        <v>245</v>
      </c>
      <c r="F252" s="101">
        <v>0.1</v>
      </c>
      <c r="G252" s="105"/>
      <c r="H252" s="104"/>
      <c r="I252" s="101">
        <v>0.09</v>
      </c>
      <c r="J252" s="99">
        <f>Table336789101112131415[[#This Row],[Sched C/ County/ State]]-Table336789101112131415[[#This Row],[2025 Rate]]</f>
        <v>0.01</v>
      </c>
    </row>
    <row r="253" spans="1:10" ht="30" x14ac:dyDescent="0.2">
      <c r="A253" s="93">
        <v>878</v>
      </c>
      <c r="B253" s="94" t="s">
        <v>246</v>
      </c>
      <c r="C253" s="95">
        <v>2021</v>
      </c>
      <c r="D253" s="96" t="s">
        <v>170</v>
      </c>
      <c r="E253" s="96" t="s">
        <v>245</v>
      </c>
      <c r="F253" s="101">
        <v>0.1</v>
      </c>
      <c r="G253" s="105"/>
      <c r="H253" s="104"/>
      <c r="I253" s="101">
        <v>0.09</v>
      </c>
      <c r="J253" s="99">
        <f>Table336789101112131415[[#This Row],[Sched C/ County/ State]]-Table336789101112131415[[#This Row],[2025 Rate]]</f>
        <v>0.01</v>
      </c>
    </row>
    <row r="254" spans="1:10" ht="30" x14ac:dyDescent="0.2">
      <c r="A254" s="93">
        <v>879</v>
      </c>
      <c r="B254" s="94" t="s">
        <v>246</v>
      </c>
      <c r="C254" s="95">
        <v>2021</v>
      </c>
      <c r="D254" s="96" t="s">
        <v>170</v>
      </c>
      <c r="E254" s="96" t="s">
        <v>245</v>
      </c>
      <c r="F254" s="101">
        <v>0.1</v>
      </c>
      <c r="G254" s="105"/>
      <c r="H254" s="104"/>
      <c r="I254" s="101">
        <v>0.09</v>
      </c>
      <c r="J254" s="99">
        <f>Table336789101112131415[[#This Row],[Sched C/ County/ State]]-Table336789101112131415[[#This Row],[2025 Rate]]</f>
        <v>0.01</v>
      </c>
    </row>
    <row r="255" spans="1:10" ht="30" x14ac:dyDescent="0.2">
      <c r="A255" s="93">
        <v>880</v>
      </c>
      <c r="B255" s="94" t="s">
        <v>246</v>
      </c>
      <c r="C255" s="95">
        <v>2021</v>
      </c>
      <c r="D255" s="96" t="s">
        <v>170</v>
      </c>
      <c r="E255" s="96" t="s">
        <v>245</v>
      </c>
      <c r="F255" s="101">
        <v>0.1</v>
      </c>
      <c r="G255" s="105"/>
      <c r="H255" s="104"/>
      <c r="I255" s="101">
        <v>0.09</v>
      </c>
      <c r="J255" s="99">
        <f>Table336789101112131415[[#This Row],[Sched C/ County/ State]]-Table336789101112131415[[#This Row],[2025 Rate]]</f>
        <v>0.01</v>
      </c>
    </row>
    <row r="256" spans="1:10" ht="30" x14ac:dyDescent="0.2">
      <c r="A256" s="93">
        <v>881</v>
      </c>
      <c r="B256" s="94" t="s">
        <v>246</v>
      </c>
      <c r="C256" s="95">
        <v>2023</v>
      </c>
      <c r="D256" s="96" t="s">
        <v>170</v>
      </c>
      <c r="E256" s="96" t="s">
        <v>245</v>
      </c>
      <c r="F256" s="101">
        <v>0.1</v>
      </c>
      <c r="G256" s="105"/>
      <c r="H256" s="104"/>
      <c r="I256" s="101">
        <v>0.09</v>
      </c>
      <c r="J256" s="99">
        <f>Table336789101112131415[[#This Row],[Sched C/ County/ State]]-Table336789101112131415[[#This Row],[2025 Rate]]</f>
        <v>0.01</v>
      </c>
    </row>
    <row r="257" spans="1:10" ht="30" x14ac:dyDescent="0.2">
      <c r="A257" s="93">
        <v>882</v>
      </c>
      <c r="B257" s="94" t="s">
        <v>246</v>
      </c>
      <c r="C257" s="95">
        <v>2023</v>
      </c>
      <c r="D257" s="96" t="s">
        <v>170</v>
      </c>
      <c r="E257" s="96" t="s">
        <v>245</v>
      </c>
      <c r="F257" s="101">
        <v>0.1</v>
      </c>
      <c r="G257" s="105"/>
      <c r="H257" s="104"/>
      <c r="I257" s="101">
        <v>0.09</v>
      </c>
      <c r="J257" s="99">
        <f>Table336789101112131415[[#This Row],[Sched C/ County/ State]]-Table336789101112131415[[#This Row],[2025 Rate]]</f>
        <v>0.01</v>
      </c>
    </row>
    <row r="258" spans="1:10" ht="30" x14ac:dyDescent="0.2">
      <c r="A258" s="93">
        <v>883</v>
      </c>
      <c r="B258" s="94" t="s">
        <v>246</v>
      </c>
      <c r="C258" s="95">
        <v>2023</v>
      </c>
      <c r="D258" s="96" t="s">
        <v>170</v>
      </c>
      <c r="E258" s="96" t="s">
        <v>245</v>
      </c>
      <c r="F258" s="101">
        <v>0.1</v>
      </c>
      <c r="G258" s="105"/>
      <c r="H258" s="104"/>
      <c r="I258" s="101">
        <v>0.09</v>
      </c>
      <c r="J258" s="99">
        <f>Table336789101112131415[[#This Row],[Sched C/ County/ State]]-Table336789101112131415[[#This Row],[2025 Rate]]</f>
        <v>0.01</v>
      </c>
    </row>
    <row r="259" spans="1:10" ht="30" x14ac:dyDescent="0.2">
      <c r="A259" s="93">
        <v>884</v>
      </c>
      <c r="B259" s="94" t="s">
        <v>246</v>
      </c>
      <c r="C259" s="95">
        <v>2021</v>
      </c>
      <c r="D259" s="96" t="s">
        <v>170</v>
      </c>
      <c r="E259" s="96" t="s">
        <v>245</v>
      </c>
      <c r="F259" s="101">
        <v>0.1</v>
      </c>
      <c r="G259" s="105"/>
      <c r="H259" s="104"/>
      <c r="I259" s="101">
        <v>0.09</v>
      </c>
      <c r="J259" s="99">
        <f>Table336789101112131415[[#This Row],[Sched C/ County/ State]]-Table336789101112131415[[#This Row],[2025 Rate]]</f>
        <v>0.01</v>
      </c>
    </row>
    <row r="260" spans="1:10" ht="30" x14ac:dyDescent="0.2">
      <c r="A260" s="93">
        <v>885</v>
      </c>
      <c r="B260" s="94" t="s">
        <v>246</v>
      </c>
      <c r="C260" s="95">
        <v>2021</v>
      </c>
      <c r="D260" s="96" t="s">
        <v>170</v>
      </c>
      <c r="E260" s="96" t="s">
        <v>245</v>
      </c>
      <c r="F260" s="101">
        <v>0.1</v>
      </c>
      <c r="G260" s="105"/>
      <c r="H260" s="104"/>
      <c r="I260" s="101">
        <v>0.09</v>
      </c>
      <c r="J260" s="99">
        <f>Table336789101112131415[[#This Row],[Sched C/ County/ State]]-Table336789101112131415[[#This Row],[2025 Rate]]</f>
        <v>0.01</v>
      </c>
    </row>
    <row r="261" spans="1:10" ht="30" x14ac:dyDescent="0.2">
      <c r="A261" s="93">
        <v>886</v>
      </c>
      <c r="B261" s="94" t="s">
        <v>246</v>
      </c>
      <c r="C261" s="95">
        <v>2021</v>
      </c>
      <c r="D261" s="96" t="s">
        <v>170</v>
      </c>
      <c r="E261" s="96" t="s">
        <v>245</v>
      </c>
      <c r="F261" s="101">
        <v>0.1</v>
      </c>
      <c r="G261" s="105"/>
      <c r="H261" s="104"/>
      <c r="I261" s="101">
        <v>0.09</v>
      </c>
      <c r="J261" s="99">
        <f>Table336789101112131415[[#This Row],[Sched C/ County/ State]]-Table336789101112131415[[#This Row],[2025 Rate]]</f>
        <v>0.01</v>
      </c>
    </row>
    <row r="262" spans="1:10" ht="30" x14ac:dyDescent="0.2">
      <c r="A262" s="93">
        <v>887</v>
      </c>
      <c r="B262" s="94" t="s">
        <v>246</v>
      </c>
      <c r="C262" s="95">
        <v>2024</v>
      </c>
      <c r="D262" s="96" t="s">
        <v>170</v>
      </c>
      <c r="E262" s="96" t="s">
        <v>245</v>
      </c>
      <c r="F262" s="101">
        <v>0.1</v>
      </c>
      <c r="G262" s="105"/>
      <c r="H262" s="104"/>
      <c r="I262" s="101">
        <v>0.09</v>
      </c>
      <c r="J262" s="99">
        <f>Table336789101112131415[[#This Row],[Sched C/ County/ State]]-Table336789101112131415[[#This Row],[2025 Rate]]</f>
        <v>0.01</v>
      </c>
    </row>
    <row r="263" spans="1:10" ht="30" x14ac:dyDescent="0.2">
      <c r="A263" s="93">
        <v>888</v>
      </c>
      <c r="B263" s="94" t="s">
        <v>246</v>
      </c>
      <c r="C263" s="95">
        <v>2024</v>
      </c>
      <c r="D263" s="96" t="s">
        <v>170</v>
      </c>
      <c r="E263" s="96" t="s">
        <v>245</v>
      </c>
      <c r="F263" s="101">
        <v>0.1</v>
      </c>
      <c r="G263" s="105"/>
      <c r="H263" s="104"/>
      <c r="I263" s="101">
        <v>0.09</v>
      </c>
      <c r="J263" s="99">
        <f>Table336789101112131415[[#This Row],[Sched C/ County/ State]]-Table336789101112131415[[#This Row],[2025 Rate]]</f>
        <v>0.01</v>
      </c>
    </row>
    <row r="264" spans="1:10" ht="30" x14ac:dyDescent="0.2">
      <c r="A264" s="93">
        <v>889</v>
      </c>
      <c r="B264" s="94" t="s">
        <v>246</v>
      </c>
      <c r="C264" s="95">
        <v>2024</v>
      </c>
      <c r="D264" s="96" t="s">
        <v>170</v>
      </c>
      <c r="E264" s="96" t="s">
        <v>245</v>
      </c>
      <c r="F264" s="101">
        <v>0.1</v>
      </c>
      <c r="G264" s="105"/>
      <c r="H264" s="104"/>
      <c r="I264" s="101">
        <v>0.09</v>
      </c>
      <c r="J264" s="99">
        <f>Table336789101112131415[[#This Row],[Sched C/ County/ State]]-Table336789101112131415[[#This Row],[2025 Rate]]</f>
        <v>0.01</v>
      </c>
    </row>
    <row r="265" spans="1:10" ht="30" x14ac:dyDescent="0.2">
      <c r="A265" s="93">
        <v>890</v>
      </c>
      <c r="B265" s="94" t="s">
        <v>246</v>
      </c>
      <c r="C265" s="95">
        <v>2024</v>
      </c>
      <c r="D265" s="96" t="s">
        <v>170</v>
      </c>
      <c r="E265" s="96" t="s">
        <v>245</v>
      </c>
      <c r="F265" s="101">
        <v>0.1</v>
      </c>
      <c r="G265" s="105"/>
      <c r="H265" s="104"/>
      <c r="I265" s="101">
        <v>0.09</v>
      </c>
      <c r="J265" s="99">
        <f>Table336789101112131415[[#This Row],[Sched C/ County/ State]]-Table336789101112131415[[#This Row],[2025 Rate]]</f>
        <v>0.01</v>
      </c>
    </row>
    <row r="266" spans="1:10" ht="30" x14ac:dyDescent="0.2">
      <c r="A266" s="93">
        <v>891</v>
      </c>
      <c r="B266" s="94" t="s">
        <v>246</v>
      </c>
      <c r="C266" s="95">
        <v>2024</v>
      </c>
      <c r="D266" s="96" t="s">
        <v>170</v>
      </c>
      <c r="E266" s="96" t="s">
        <v>245</v>
      </c>
      <c r="F266" s="101">
        <v>0.1</v>
      </c>
      <c r="G266" s="105"/>
      <c r="H266" s="104"/>
      <c r="I266" s="101">
        <v>0.09</v>
      </c>
      <c r="J266" s="99">
        <f>Table336789101112131415[[#This Row],[Sched C/ County/ State]]-Table336789101112131415[[#This Row],[2025 Rate]]</f>
        <v>0.01</v>
      </c>
    </row>
    <row r="267" spans="1:10" ht="30" x14ac:dyDescent="0.2">
      <c r="A267" s="93">
        <v>892</v>
      </c>
      <c r="B267" s="94" t="s">
        <v>246</v>
      </c>
      <c r="C267" s="95">
        <v>2024</v>
      </c>
      <c r="D267" s="96" t="s">
        <v>170</v>
      </c>
      <c r="E267" s="96" t="s">
        <v>245</v>
      </c>
      <c r="F267" s="101">
        <v>0.1</v>
      </c>
      <c r="G267" s="105"/>
      <c r="H267" s="104"/>
      <c r="I267" s="101">
        <v>0.09</v>
      </c>
      <c r="J267" s="99">
        <f>Table336789101112131415[[#This Row],[Sched C/ County/ State]]-Table336789101112131415[[#This Row],[2025 Rate]]</f>
        <v>0.01</v>
      </c>
    </row>
    <row r="268" spans="1:10" ht="30" x14ac:dyDescent="0.2">
      <c r="A268" s="93">
        <v>893</v>
      </c>
      <c r="B268" s="94" t="s">
        <v>246</v>
      </c>
      <c r="C268" s="95">
        <v>2024</v>
      </c>
      <c r="D268" s="96" t="s">
        <v>170</v>
      </c>
      <c r="E268" s="96" t="s">
        <v>245</v>
      </c>
      <c r="F268" s="101">
        <v>0.1</v>
      </c>
      <c r="G268" s="105"/>
      <c r="H268" s="104"/>
      <c r="I268" s="101">
        <v>0.09</v>
      </c>
      <c r="J268" s="99">
        <f>Table336789101112131415[[#This Row],[Sched C/ County/ State]]-Table336789101112131415[[#This Row],[2025 Rate]]</f>
        <v>0.01</v>
      </c>
    </row>
    <row r="269" spans="1:10" x14ac:dyDescent="0.2">
      <c r="A269" s="93">
        <v>902</v>
      </c>
      <c r="B269" s="94" t="s">
        <v>247</v>
      </c>
      <c r="C269" s="95">
        <v>2018</v>
      </c>
      <c r="D269" s="96" t="s">
        <v>248</v>
      </c>
      <c r="E269" s="96" t="s">
        <v>249</v>
      </c>
      <c r="F269" s="101">
        <v>0.47</v>
      </c>
      <c r="G269" s="103"/>
      <c r="H269" s="104"/>
      <c r="I269" s="101">
        <v>0.44</v>
      </c>
      <c r="J269" s="99">
        <f>Table336789101112131415[[#This Row],[Sched C/ County/ State]]-Table336789101112131415[[#This Row],[2025 Rate]]</f>
        <v>0.03</v>
      </c>
    </row>
    <row r="270" spans="1:10" x14ac:dyDescent="0.2">
      <c r="A270" s="93">
        <v>903</v>
      </c>
      <c r="B270" s="94" t="s">
        <v>247</v>
      </c>
      <c r="C270" s="95">
        <v>2018</v>
      </c>
      <c r="D270" s="96" t="s">
        <v>248</v>
      </c>
      <c r="E270" s="96" t="s">
        <v>249</v>
      </c>
      <c r="F270" s="101">
        <v>0.47</v>
      </c>
      <c r="G270" s="103"/>
      <c r="H270" s="104"/>
      <c r="I270" s="101">
        <v>0.44</v>
      </c>
      <c r="J270" s="99">
        <f>Table336789101112131415[[#This Row],[Sched C/ County/ State]]-Table336789101112131415[[#This Row],[2025 Rate]]</f>
        <v>0.03</v>
      </c>
    </row>
    <row r="271" spans="1:10" x14ac:dyDescent="0.2">
      <c r="A271" s="93">
        <v>904</v>
      </c>
      <c r="B271" s="94" t="s">
        <v>247</v>
      </c>
      <c r="C271" s="95">
        <v>2019</v>
      </c>
      <c r="D271" s="96" t="s">
        <v>248</v>
      </c>
      <c r="F271" s="101">
        <v>0.47</v>
      </c>
      <c r="G271" s="103"/>
      <c r="H271" s="104"/>
      <c r="I271" s="101">
        <v>0.44</v>
      </c>
      <c r="J271" s="99">
        <f>Table336789101112131415[[#This Row],[Sched C/ County/ State]]-Table336789101112131415[[#This Row],[2025 Rate]]</f>
        <v>0.03</v>
      </c>
    </row>
    <row r="272" spans="1:10" x14ac:dyDescent="0.2">
      <c r="A272" s="93">
        <v>907</v>
      </c>
      <c r="B272" s="94" t="s">
        <v>247</v>
      </c>
      <c r="C272" s="95">
        <v>2020</v>
      </c>
      <c r="D272" s="96" t="s">
        <v>248</v>
      </c>
      <c r="F272" s="101">
        <v>0.47</v>
      </c>
      <c r="G272" s="103"/>
      <c r="H272" s="104"/>
      <c r="I272" s="101">
        <v>0.44</v>
      </c>
      <c r="J272" s="99">
        <f>Table336789101112131415[[#This Row],[Sched C/ County/ State]]-Table336789101112131415[[#This Row],[2025 Rate]]</f>
        <v>0.03</v>
      </c>
    </row>
    <row r="273" spans="1:10" x14ac:dyDescent="0.2">
      <c r="A273" s="93">
        <v>908</v>
      </c>
      <c r="B273" s="94" t="s">
        <v>247</v>
      </c>
      <c r="C273" s="95">
        <v>2019</v>
      </c>
      <c r="D273" s="96" t="s">
        <v>248</v>
      </c>
      <c r="F273" s="101">
        <v>0.47</v>
      </c>
      <c r="G273" s="103"/>
      <c r="H273" s="104"/>
      <c r="I273" s="101">
        <v>0.44</v>
      </c>
      <c r="J273" s="99">
        <f>Table336789101112131415[[#This Row],[Sched C/ County/ State]]-Table336789101112131415[[#This Row],[2025 Rate]]</f>
        <v>0.03</v>
      </c>
    </row>
    <row r="274" spans="1:10" x14ac:dyDescent="0.2">
      <c r="A274" s="93">
        <v>909</v>
      </c>
      <c r="B274" s="94" t="s">
        <v>247</v>
      </c>
      <c r="C274" s="95">
        <v>2020</v>
      </c>
      <c r="D274" s="96" t="s">
        <v>248</v>
      </c>
      <c r="F274" s="101">
        <v>0.47</v>
      </c>
      <c r="G274" s="103"/>
      <c r="H274" s="104"/>
      <c r="I274" s="101">
        <v>0.44</v>
      </c>
      <c r="J274" s="99">
        <f>Table336789101112131415[[#This Row],[Sched C/ County/ State]]-Table336789101112131415[[#This Row],[2025 Rate]]</f>
        <v>0.03</v>
      </c>
    </row>
    <row r="275" spans="1:10" x14ac:dyDescent="0.2">
      <c r="A275" s="93">
        <v>910</v>
      </c>
      <c r="B275" s="94" t="s">
        <v>247</v>
      </c>
      <c r="C275" s="95">
        <v>2019</v>
      </c>
      <c r="D275" s="96" t="s">
        <v>205</v>
      </c>
      <c r="E275" s="96" t="s">
        <v>250</v>
      </c>
      <c r="F275" s="101">
        <v>0.47</v>
      </c>
      <c r="G275" s="103"/>
      <c r="H275" s="104"/>
      <c r="I275" s="101">
        <v>0.44</v>
      </c>
      <c r="J275" s="99">
        <f>Table336789101112131415[[#This Row],[Sched C/ County/ State]]-Table336789101112131415[[#This Row],[2025 Rate]]</f>
        <v>0.03</v>
      </c>
    </row>
    <row r="276" spans="1:10" x14ac:dyDescent="0.2">
      <c r="A276" s="93">
        <v>916</v>
      </c>
      <c r="B276" s="94" t="s">
        <v>247</v>
      </c>
      <c r="C276" s="95">
        <v>2020</v>
      </c>
      <c r="D276" s="96" t="s">
        <v>248</v>
      </c>
      <c r="E276" s="96" t="s">
        <v>249</v>
      </c>
      <c r="F276" s="101">
        <v>0.47</v>
      </c>
      <c r="G276" s="103"/>
      <c r="H276" s="104"/>
      <c r="I276" s="101">
        <v>0.44</v>
      </c>
      <c r="J276" s="99">
        <f>Table336789101112131415[[#This Row],[Sched C/ County/ State]]-Table336789101112131415[[#This Row],[2025 Rate]]</f>
        <v>0.03</v>
      </c>
    </row>
    <row r="277" spans="1:10" x14ac:dyDescent="0.2">
      <c r="A277" s="93">
        <v>917</v>
      </c>
      <c r="B277" s="94" t="s">
        <v>247</v>
      </c>
      <c r="C277" s="95">
        <v>2019</v>
      </c>
      <c r="F277" s="101">
        <v>0.47</v>
      </c>
      <c r="G277" s="103"/>
      <c r="H277" s="104"/>
      <c r="I277" s="101">
        <v>0.44</v>
      </c>
      <c r="J277" s="99">
        <f>Table336789101112131415[[#This Row],[Sched C/ County/ State]]-Table336789101112131415[[#This Row],[2025 Rate]]</f>
        <v>0.03</v>
      </c>
    </row>
    <row r="278" spans="1:10" x14ac:dyDescent="0.2">
      <c r="A278" s="93">
        <v>921</v>
      </c>
      <c r="B278" s="94" t="s">
        <v>247</v>
      </c>
      <c r="C278" s="95">
        <v>2020</v>
      </c>
      <c r="D278" s="96" t="s">
        <v>248</v>
      </c>
      <c r="E278" s="96" t="s">
        <v>249</v>
      </c>
      <c r="F278" s="101">
        <v>0.47</v>
      </c>
      <c r="G278" s="103"/>
      <c r="H278" s="104"/>
      <c r="I278" s="101">
        <v>0.44</v>
      </c>
      <c r="J278" s="99">
        <f>Table336789101112131415[[#This Row],[Sched C/ County/ State]]-Table336789101112131415[[#This Row],[2025 Rate]]</f>
        <v>0.03</v>
      </c>
    </row>
    <row r="279" spans="1:10" x14ac:dyDescent="0.2">
      <c r="A279" s="93">
        <v>922</v>
      </c>
      <c r="B279" s="94" t="s">
        <v>247</v>
      </c>
      <c r="C279" s="95">
        <v>2020</v>
      </c>
      <c r="D279" s="96" t="s">
        <v>248</v>
      </c>
      <c r="E279" s="96" t="s">
        <v>249</v>
      </c>
      <c r="F279" s="101">
        <v>0.47</v>
      </c>
      <c r="G279" s="103"/>
      <c r="H279" s="104"/>
      <c r="I279" s="101">
        <v>0.44</v>
      </c>
      <c r="J279" s="99">
        <f>Table336789101112131415[[#This Row],[Sched C/ County/ State]]-Table336789101112131415[[#This Row],[2025 Rate]]</f>
        <v>0.03</v>
      </c>
    </row>
    <row r="280" spans="1:10" x14ac:dyDescent="0.2">
      <c r="A280" s="93">
        <v>923</v>
      </c>
      <c r="B280" s="94" t="s">
        <v>247</v>
      </c>
      <c r="C280" s="95">
        <v>2020</v>
      </c>
      <c r="D280" s="96" t="s">
        <v>248</v>
      </c>
      <c r="E280" s="96" t="s">
        <v>249</v>
      </c>
      <c r="F280" s="101">
        <v>0.47</v>
      </c>
      <c r="G280" s="103"/>
      <c r="H280" s="104"/>
      <c r="I280" s="101">
        <v>0.44</v>
      </c>
      <c r="J280" s="99">
        <f>Table336789101112131415[[#This Row],[Sched C/ County/ State]]-Table336789101112131415[[#This Row],[2025 Rate]]</f>
        <v>0.03</v>
      </c>
    </row>
    <row r="281" spans="1:10" ht="30" x14ac:dyDescent="0.2">
      <c r="A281" s="93">
        <v>929</v>
      </c>
      <c r="B281" s="94" t="s">
        <v>251</v>
      </c>
      <c r="C281" s="95">
        <v>2017</v>
      </c>
      <c r="E281" s="96" t="s">
        <v>252</v>
      </c>
      <c r="F281" s="101">
        <v>0.14000000000000001</v>
      </c>
      <c r="G281" s="103"/>
      <c r="H281" s="104"/>
      <c r="I281" s="101">
        <v>0.13</v>
      </c>
      <c r="J281" s="99">
        <f>Table336789101112131415[[#This Row],[Sched C/ County/ State]]-Table336789101112131415[[#This Row],[2025 Rate]]</f>
        <v>0.01</v>
      </c>
    </row>
    <row r="282" spans="1:10" x14ac:dyDescent="0.2">
      <c r="A282" s="93">
        <v>930</v>
      </c>
      <c r="B282" s="94" t="s">
        <v>253</v>
      </c>
      <c r="C282" s="95">
        <v>2017</v>
      </c>
      <c r="D282" s="96" t="s">
        <v>254</v>
      </c>
      <c r="F282" s="101">
        <v>5.12</v>
      </c>
      <c r="G282" s="103"/>
      <c r="H282" s="104"/>
      <c r="I282" s="101">
        <v>4.75</v>
      </c>
      <c r="J282" s="99">
        <f>Table336789101112131415[[#This Row],[Sched C/ County/ State]]-Table336789101112131415[[#This Row],[2025 Rate]]</f>
        <v>0.37</v>
      </c>
    </row>
    <row r="283" spans="1:10" x14ac:dyDescent="0.2">
      <c r="A283" s="93">
        <v>931</v>
      </c>
      <c r="B283" s="94" t="s">
        <v>251</v>
      </c>
      <c r="C283" s="95">
        <v>2017</v>
      </c>
      <c r="D283" s="96" t="s">
        <v>255</v>
      </c>
      <c r="E283" s="96" t="s">
        <v>256</v>
      </c>
      <c r="F283" s="101">
        <v>0.14000000000000001</v>
      </c>
      <c r="G283" s="103"/>
      <c r="H283" s="104"/>
      <c r="I283" s="101">
        <v>0.13</v>
      </c>
      <c r="J283" s="99">
        <f>Table336789101112131415[[#This Row],[Sched C/ County/ State]]-Table336789101112131415[[#This Row],[2025 Rate]]</f>
        <v>0.01</v>
      </c>
    </row>
    <row r="284" spans="1:10" x14ac:dyDescent="0.2">
      <c r="A284" s="93">
        <v>932</v>
      </c>
      <c r="B284" s="94" t="s">
        <v>251</v>
      </c>
      <c r="C284" s="95">
        <v>2017</v>
      </c>
      <c r="D284" s="96" t="s">
        <v>255</v>
      </c>
      <c r="E284" s="96" t="s">
        <v>256</v>
      </c>
      <c r="F284" s="101">
        <v>0.14000000000000001</v>
      </c>
      <c r="G284" s="103"/>
      <c r="H284" s="104"/>
      <c r="I284" s="101">
        <v>0.13</v>
      </c>
      <c r="J284" s="99">
        <f>Table336789101112131415[[#This Row],[Sched C/ County/ State]]-Table336789101112131415[[#This Row],[2025 Rate]]</f>
        <v>0.01</v>
      </c>
    </row>
    <row r="285" spans="1:10" x14ac:dyDescent="0.2">
      <c r="A285" s="93">
        <v>933</v>
      </c>
      <c r="B285" s="94" t="s">
        <v>251</v>
      </c>
      <c r="C285" s="95">
        <v>2017</v>
      </c>
      <c r="D285" s="96" t="s">
        <v>255</v>
      </c>
      <c r="E285" s="96" t="s">
        <v>256</v>
      </c>
      <c r="F285" s="101">
        <v>0.14000000000000001</v>
      </c>
      <c r="G285" s="103"/>
      <c r="H285" s="104"/>
      <c r="I285" s="101">
        <v>0.13</v>
      </c>
      <c r="J285" s="99">
        <f>Table336789101112131415[[#This Row],[Sched C/ County/ State]]-Table336789101112131415[[#This Row],[2025 Rate]]</f>
        <v>0.01</v>
      </c>
    </row>
    <row r="286" spans="1:10" x14ac:dyDescent="0.2">
      <c r="A286" s="93">
        <v>934</v>
      </c>
      <c r="B286" s="94" t="s">
        <v>251</v>
      </c>
      <c r="C286" s="95">
        <v>2017</v>
      </c>
      <c r="D286" s="96" t="s">
        <v>255</v>
      </c>
      <c r="E286" s="96" t="s">
        <v>256</v>
      </c>
      <c r="F286" s="101">
        <v>0.14000000000000001</v>
      </c>
      <c r="G286" s="103"/>
      <c r="H286" s="104"/>
      <c r="I286" s="101">
        <v>0.13</v>
      </c>
      <c r="J286" s="99">
        <f>Table336789101112131415[[#This Row],[Sched C/ County/ State]]-Table336789101112131415[[#This Row],[2025 Rate]]</f>
        <v>0.01</v>
      </c>
    </row>
    <row r="287" spans="1:10" x14ac:dyDescent="0.2">
      <c r="A287" s="93">
        <v>935</v>
      </c>
      <c r="B287" s="94" t="s">
        <v>251</v>
      </c>
      <c r="C287" s="95">
        <v>2017</v>
      </c>
      <c r="D287" s="96" t="s">
        <v>255</v>
      </c>
      <c r="E287" s="96" t="s">
        <v>256</v>
      </c>
      <c r="F287" s="101">
        <v>0.14000000000000001</v>
      </c>
      <c r="G287" s="103"/>
      <c r="H287" s="104"/>
      <c r="I287" s="101">
        <v>0.13</v>
      </c>
      <c r="J287" s="99">
        <f>Table336789101112131415[[#This Row],[Sched C/ County/ State]]-Table336789101112131415[[#This Row],[2025 Rate]]</f>
        <v>0.01</v>
      </c>
    </row>
    <row r="288" spans="1:10" x14ac:dyDescent="0.2">
      <c r="A288" s="93">
        <v>936</v>
      </c>
      <c r="B288" s="94" t="s">
        <v>251</v>
      </c>
      <c r="C288" s="95">
        <v>2018</v>
      </c>
      <c r="D288" s="96" t="s">
        <v>255</v>
      </c>
      <c r="E288" s="96" t="s">
        <v>257</v>
      </c>
      <c r="F288" s="101">
        <v>0.14000000000000001</v>
      </c>
      <c r="G288" s="103"/>
      <c r="H288" s="104"/>
      <c r="I288" s="101">
        <v>0.13</v>
      </c>
      <c r="J288" s="99">
        <f>Table336789101112131415[[#This Row],[Sched C/ County/ State]]-Table336789101112131415[[#This Row],[2025 Rate]]</f>
        <v>0.01</v>
      </c>
    </row>
    <row r="289" spans="1:10" x14ac:dyDescent="0.2">
      <c r="A289" s="93">
        <v>937</v>
      </c>
      <c r="B289" s="94" t="s">
        <v>251</v>
      </c>
      <c r="C289" s="95">
        <v>2018</v>
      </c>
      <c r="D289" s="96" t="s">
        <v>255</v>
      </c>
      <c r="E289" s="96" t="s">
        <v>257</v>
      </c>
      <c r="F289" s="101">
        <v>0.14000000000000001</v>
      </c>
      <c r="G289" s="103"/>
      <c r="H289" s="104">
        <v>0</v>
      </c>
      <c r="I289" s="101">
        <v>0.13</v>
      </c>
      <c r="J289" s="99">
        <f>Table336789101112131415[[#This Row],[Sched C/ County/ State]]-Table336789101112131415[[#This Row],[2025 Rate]]</f>
        <v>0.01</v>
      </c>
    </row>
    <row r="290" spans="1:10" x14ac:dyDescent="0.2">
      <c r="A290" s="93">
        <v>938</v>
      </c>
      <c r="B290" s="94" t="s">
        <v>251</v>
      </c>
      <c r="C290" s="95">
        <v>2018</v>
      </c>
      <c r="D290" s="96" t="s">
        <v>255</v>
      </c>
      <c r="E290" s="96" t="s">
        <v>257</v>
      </c>
      <c r="F290" s="101">
        <v>0.14000000000000001</v>
      </c>
      <c r="G290" s="103"/>
      <c r="H290" s="104"/>
      <c r="I290" s="101">
        <v>0.13</v>
      </c>
      <c r="J290" s="99">
        <f>Table336789101112131415[[#This Row],[Sched C/ County/ State]]-Table336789101112131415[[#This Row],[2025 Rate]]</f>
        <v>0.01</v>
      </c>
    </row>
    <row r="291" spans="1:10" x14ac:dyDescent="0.2">
      <c r="A291" s="93">
        <v>939</v>
      </c>
      <c r="B291" s="94" t="s">
        <v>247</v>
      </c>
      <c r="C291" s="95">
        <v>2020</v>
      </c>
      <c r="F291" s="101">
        <v>0.47</v>
      </c>
      <c r="G291" s="105"/>
      <c r="H291" s="104"/>
      <c r="I291" s="101">
        <v>0.44</v>
      </c>
      <c r="J291" s="99">
        <f>Table336789101112131415[[#This Row],[Sched C/ County/ State]]-Table336789101112131415[[#This Row],[2025 Rate]]</f>
        <v>0.03</v>
      </c>
    </row>
    <row r="292" spans="1:10" x14ac:dyDescent="0.2">
      <c r="A292" s="93">
        <v>940</v>
      </c>
      <c r="B292" s="94" t="s">
        <v>247</v>
      </c>
      <c r="C292" s="95">
        <v>2020</v>
      </c>
      <c r="F292" s="101">
        <v>0.47</v>
      </c>
      <c r="G292" s="105"/>
      <c r="H292" s="104"/>
      <c r="I292" s="101">
        <v>0.44</v>
      </c>
      <c r="J292" s="99">
        <f>Table336789101112131415[[#This Row],[Sched C/ County/ State]]-Table336789101112131415[[#This Row],[2025 Rate]]</f>
        <v>0.03</v>
      </c>
    </row>
    <row r="293" spans="1:10" x14ac:dyDescent="0.2">
      <c r="A293" s="93">
        <v>941</v>
      </c>
      <c r="B293" s="94" t="s">
        <v>247</v>
      </c>
      <c r="C293" s="95">
        <v>2020</v>
      </c>
      <c r="F293" s="101">
        <v>0.47</v>
      </c>
      <c r="G293" s="105"/>
      <c r="H293" s="104"/>
      <c r="I293" s="101">
        <v>0.44</v>
      </c>
      <c r="J293" s="99">
        <f>Table336789101112131415[[#This Row],[Sched C/ County/ State]]-Table336789101112131415[[#This Row],[2025 Rate]]</f>
        <v>0.03</v>
      </c>
    </row>
    <row r="294" spans="1:10" x14ac:dyDescent="0.2">
      <c r="A294" s="93">
        <v>942</v>
      </c>
      <c r="B294" s="94" t="s">
        <v>247</v>
      </c>
      <c r="C294" s="95">
        <v>2020</v>
      </c>
      <c r="F294" s="101">
        <v>0.47</v>
      </c>
      <c r="G294" s="105"/>
      <c r="H294" s="104"/>
      <c r="I294" s="101">
        <v>0.44</v>
      </c>
      <c r="J294" s="99">
        <f>Table336789101112131415[[#This Row],[Sched C/ County/ State]]-Table336789101112131415[[#This Row],[2025 Rate]]</f>
        <v>0.03</v>
      </c>
    </row>
    <row r="295" spans="1:10" x14ac:dyDescent="0.2">
      <c r="A295" s="93">
        <v>943</v>
      </c>
      <c r="B295" s="94" t="s">
        <v>247</v>
      </c>
      <c r="C295" s="95">
        <v>2020</v>
      </c>
      <c r="F295" s="101">
        <v>0.47</v>
      </c>
      <c r="G295" s="105"/>
      <c r="H295" s="104"/>
      <c r="I295" s="101">
        <v>0.44</v>
      </c>
      <c r="J295" s="99">
        <f>Table336789101112131415[[#This Row],[Sched C/ County/ State]]-Table336789101112131415[[#This Row],[2025 Rate]]</f>
        <v>0.03</v>
      </c>
    </row>
    <row r="296" spans="1:10" x14ac:dyDescent="0.2">
      <c r="A296" s="93">
        <v>944</v>
      </c>
      <c r="B296" s="94" t="s">
        <v>247</v>
      </c>
      <c r="C296" s="95">
        <v>2020</v>
      </c>
      <c r="F296" s="101">
        <v>0.47</v>
      </c>
      <c r="G296" s="105"/>
      <c r="H296" s="104"/>
      <c r="I296" s="101">
        <v>0.44</v>
      </c>
      <c r="J296" s="99">
        <f>Table336789101112131415[[#This Row],[Sched C/ County/ State]]-Table336789101112131415[[#This Row],[2025 Rate]]</f>
        <v>0.03</v>
      </c>
    </row>
    <row r="297" spans="1:10" x14ac:dyDescent="0.2">
      <c r="A297" s="93">
        <v>945</v>
      </c>
      <c r="B297" s="94" t="s">
        <v>247</v>
      </c>
      <c r="C297" s="95">
        <v>2020</v>
      </c>
      <c r="F297" s="101">
        <v>0.47</v>
      </c>
      <c r="G297" s="105"/>
      <c r="H297" s="104"/>
      <c r="I297" s="101">
        <v>0.44</v>
      </c>
      <c r="J297" s="99">
        <f>Table336789101112131415[[#This Row],[Sched C/ County/ State]]-Table336789101112131415[[#This Row],[2025 Rate]]</f>
        <v>0.03</v>
      </c>
    </row>
    <row r="298" spans="1:10" x14ac:dyDescent="0.2">
      <c r="A298" s="93">
        <v>946</v>
      </c>
      <c r="B298" s="94" t="s">
        <v>247</v>
      </c>
      <c r="C298" s="95">
        <v>2021</v>
      </c>
      <c r="F298" s="101">
        <v>0.47</v>
      </c>
      <c r="G298" s="105"/>
      <c r="H298" s="104"/>
      <c r="I298" s="101">
        <v>0.44</v>
      </c>
      <c r="J298" s="99">
        <f>Table336789101112131415[[#This Row],[Sched C/ County/ State]]-Table336789101112131415[[#This Row],[2025 Rate]]</f>
        <v>0.03</v>
      </c>
    </row>
    <row r="299" spans="1:10" x14ac:dyDescent="0.2">
      <c r="A299" s="93">
        <v>947</v>
      </c>
      <c r="B299" s="94" t="s">
        <v>247</v>
      </c>
      <c r="C299" s="95">
        <v>2021</v>
      </c>
      <c r="F299" s="101">
        <v>0.47</v>
      </c>
      <c r="G299" s="105"/>
      <c r="H299" s="104"/>
      <c r="I299" s="101">
        <v>0.44</v>
      </c>
      <c r="J299" s="99">
        <f>Table336789101112131415[[#This Row],[Sched C/ County/ State]]-Table336789101112131415[[#This Row],[2025 Rate]]</f>
        <v>0.03</v>
      </c>
    </row>
    <row r="300" spans="1:10" x14ac:dyDescent="0.2">
      <c r="A300" s="93">
        <v>948</v>
      </c>
      <c r="B300" s="94" t="s">
        <v>247</v>
      </c>
      <c r="C300" s="95">
        <v>2021</v>
      </c>
      <c r="F300" s="101">
        <v>0.47</v>
      </c>
      <c r="G300" s="105"/>
      <c r="H300" s="104"/>
      <c r="I300" s="101">
        <v>0.44</v>
      </c>
      <c r="J300" s="99">
        <f>Table336789101112131415[[#This Row],[Sched C/ County/ State]]-Table336789101112131415[[#This Row],[2025 Rate]]</f>
        <v>0.03</v>
      </c>
    </row>
    <row r="301" spans="1:10" x14ac:dyDescent="0.2">
      <c r="A301" s="93">
        <v>949</v>
      </c>
      <c r="B301" s="94" t="s">
        <v>247</v>
      </c>
      <c r="C301" s="95">
        <v>2021</v>
      </c>
      <c r="F301" s="101">
        <v>0.47</v>
      </c>
      <c r="G301" s="105"/>
      <c r="H301" s="104"/>
      <c r="I301" s="101">
        <v>0.44</v>
      </c>
      <c r="J301" s="99">
        <f>Table336789101112131415[[#This Row],[Sched C/ County/ State]]-Table336789101112131415[[#This Row],[2025 Rate]]</f>
        <v>0.03</v>
      </c>
    </row>
    <row r="302" spans="1:10" x14ac:dyDescent="0.2">
      <c r="A302" s="93">
        <v>950</v>
      </c>
      <c r="B302" s="94" t="s">
        <v>247</v>
      </c>
      <c r="C302" s="95">
        <v>2021</v>
      </c>
      <c r="F302" s="101">
        <v>0.47</v>
      </c>
      <c r="G302" s="105"/>
      <c r="H302" s="104"/>
      <c r="I302" s="101">
        <v>0.44</v>
      </c>
      <c r="J302" s="99">
        <f>Table336789101112131415[[#This Row],[Sched C/ County/ State]]-Table336789101112131415[[#This Row],[2025 Rate]]</f>
        <v>0.03</v>
      </c>
    </row>
    <row r="303" spans="1:10" x14ac:dyDescent="0.2">
      <c r="A303" s="93">
        <v>951</v>
      </c>
      <c r="B303" s="94" t="s">
        <v>247</v>
      </c>
      <c r="C303" s="95">
        <v>2021</v>
      </c>
      <c r="F303" s="101">
        <v>0.47</v>
      </c>
      <c r="G303" s="105"/>
      <c r="H303" s="104"/>
      <c r="I303" s="101">
        <v>0.44</v>
      </c>
      <c r="J303" s="99">
        <f>Table336789101112131415[[#This Row],[Sched C/ County/ State]]-Table336789101112131415[[#This Row],[2025 Rate]]</f>
        <v>0.03</v>
      </c>
    </row>
    <row r="304" spans="1:10" x14ac:dyDescent="0.2">
      <c r="A304" s="93">
        <v>952</v>
      </c>
      <c r="B304" s="94" t="s">
        <v>247</v>
      </c>
      <c r="C304" s="95">
        <v>2021</v>
      </c>
      <c r="F304" s="101">
        <v>0.47</v>
      </c>
      <c r="G304" s="105"/>
      <c r="H304" s="104"/>
      <c r="I304" s="101">
        <v>0.44</v>
      </c>
      <c r="J304" s="99">
        <f>Table336789101112131415[[#This Row],[Sched C/ County/ State]]-Table336789101112131415[[#This Row],[2025 Rate]]</f>
        <v>0.03</v>
      </c>
    </row>
    <row r="305" spans="1:10" x14ac:dyDescent="0.2">
      <c r="A305" s="93">
        <v>953</v>
      </c>
      <c r="B305" s="94" t="s">
        <v>247</v>
      </c>
      <c r="C305" s="95">
        <v>2021</v>
      </c>
      <c r="F305" s="101">
        <v>0.47</v>
      </c>
      <c r="G305" s="105"/>
      <c r="H305" s="104"/>
      <c r="I305" s="101">
        <v>0.44</v>
      </c>
      <c r="J305" s="99">
        <f>Table336789101112131415[[#This Row],[Sched C/ County/ State]]-Table336789101112131415[[#This Row],[2025 Rate]]</f>
        <v>0.03</v>
      </c>
    </row>
    <row r="306" spans="1:10" x14ac:dyDescent="0.2">
      <c r="A306" s="93">
        <v>954</v>
      </c>
      <c r="B306" s="94" t="s">
        <v>247</v>
      </c>
      <c r="C306" s="95">
        <v>2021</v>
      </c>
      <c r="F306" s="101">
        <v>0.47</v>
      </c>
      <c r="G306" s="105"/>
      <c r="H306" s="104"/>
      <c r="I306" s="101">
        <v>0.44</v>
      </c>
      <c r="J306" s="99">
        <f>Table336789101112131415[[#This Row],[Sched C/ County/ State]]-Table336789101112131415[[#This Row],[2025 Rate]]</f>
        <v>0.03</v>
      </c>
    </row>
    <row r="307" spans="1:10" x14ac:dyDescent="0.2">
      <c r="A307" s="93">
        <v>955</v>
      </c>
      <c r="B307" s="94" t="s">
        <v>247</v>
      </c>
      <c r="C307" s="95">
        <v>2021</v>
      </c>
      <c r="F307" s="101">
        <v>0.47</v>
      </c>
      <c r="G307" s="105"/>
      <c r="H307" s="104"/>
      <c r="I307" s="101">
        <v>0.44</v>
      </c>
      <c r="J307" s="99">
        <f>Table336789101112131415[[#This Row],[Sched C/ County/ State]]-Table336789101112131415[[#This Row],[2025 Rate]]</f>
        <v>0.03</v>
      </c>
    </row>
    <row r="308" spans="1:10" x14ac:dyDescent="0.2">
      <c r="A308" s="93">
        <v>961</v>
      </c>
      <c r="B308" s="94" t="s">
        <v>247</v>
      </c>
      <c r="C308" s="95">
        <v>2023</v>
      </c>
      <c r="F308" s="101">
        <v>0.47</v>
      </c>
      <c r="G308" s="105"/>
      <c r="H308" s="104"/>
      <c r="I308" s="101">
        <v>0.44</v>
      </c>
      <c r="J308" s="99">
        <f>Table336789101112131415[[#This Row],[Sched C/ County/ State]]-Table336789101112131415[[#This Row],[2025 Rate]]</f>
        <v>0.03</v>
      </c>
    </row>
    <row r="309" spans="1:10" x14ac:dyDescent="0.2">
      <c r="A309" s="93">
        <v>963</v>
      </c>
      <c r="B309" s="94" t="s">
        <v>247</v>
      </c>
      <c r="C309" s="95">
        <v>2019</v>
      </c>
      <c r="D309" s="96" t="s">
        <v>258</v>
      </c>
      <c r="F309" s="101">
        <v>0.47</v>
      </c>
      <c r="G309" s="103"/>
      <c r="H309" s="104"/>
      <c r="I309" s="101">
        <v>0.44</v>
      </c>
      <c r="J309" s="99">
        <f>Table336789101112131415[[#This Row],[Sched C/ County/ State]]-Table336789101112131415[[#This Row],[2025 Rate]]</f>
        <v>0.03</v>
      </c>
    </row>
    <row r="310" spans="1:10" x14ac:dyDescent="0.2">
      <c r="A310" s="93">
        <v>964</v>
      </c>
      <c r="B310" s="94" t="s">
        <v>247</v>
      </c>
      <c r="C310" s="95">
        <v>2019</v>
      </c>
      <c r="D310" s="96" t="s">
        <v>258</v>
      </c>
      <c r="F310" s="101">
        <v>0.47</v>
      </c>
      <c r="G310" s="103"/>
      <c r="H310" s="104"/>
      <c r="I310" s="101">
        <v>0.44</v>
      </c>
      <c r="J310" s="99">
        <f>Table336789101112131415[[#This Row],[Sched C/ County/ State]]-Table336789101112131415[[#This Row],[2025 Rate]]</f>
        <v>0.03</v>
      </c>
    </row>
    <row r="311" spans="1:10" x14ac:dyDescent="0.2">
      <c r="A311" s="93">
        <v>965</v>
      </c>
      <c r="B311" s="94" t="s">
        <v>247</v>
      </c>
      <c r="C311" s="95">
        <v>2024</v>
      </c>
      <c r="F311" s="101">
        <v>0.47</v>
      </c>
      <c r="G311" s="105"/>
      <c r="H311" s="104"/>
      <c r="I311" s="101">
        <v>0.44</v>
      </c>
      <c r="J311" s="99">
        <f>Table336789101112131415[[#This Row],[Sched C/ County/ State]]-Table336789101112131415[[#This Row],[2025 Rate]]</f>
        <v>0.03</v>
      </c>
    </row>
    <row r="312" spans="1:10" x14ac:dyDescent="0.2">
      <c r="A312" s="93">
        <v>966</v>
      </c>
      <c r="B312" s="94" t="s">
        <v>247</v>
      </c>
      <c r="C312" s="95">
        <v>2024</v>
      </c>
      <c r="F312" s="101">
        <v>0.47</v>
      </c>
      <c r="G312" s="105"/>
      <c r="H312" s="104"/>
      <c r="I312" s="101">
        <v>0.44</v>
      </c>
      <c r="J312" s="99">
        <f>Table336789101112131415[[#This Row],[Sched C/ County/ State]]-Table336789101112131415[[#This Row],[2025 Rate]]</f>
        <v>0.03</v>
      </c>
    </row>
    <row r="313" spans="1:10" x14ac:dyDescent="0.2">
      <c r="A313" s="93">
        <v>967</v>
      </c>
      <c r="B313" s="94" t="s">
        <v>247</v>
      </c>
      <c r="C313" s="95">
        <v>2024</v>
      </c>
      <c r="F313" s="101">
        <v>0.47</v>
      </c>
      <c r="G313" s="105"/>
      <c r="H313" s="104"/>
      <c r="I313" s="101">
        <v>0.44</v>
      </c>
      <c r="J313" s="99">
        <f>Table336789101112131415[[#This Row],[Sched C/ County/ State]]-Table336789101112131415[[#This Row],[2025 Rate]]</f>
        <v>0.03</v>
      </c>
    </row>
    <row r="314" spans="1:10" x14ac:dyDescent="0.2">
      <c r="A314" s="93">
        <v>968</v>
      </c>
      <c r="B314" s="94" t="s">
        <v>247</v>
      </c>
      <c r="C314" s="95">
        <v>2024</v>
      </c>
      <c r="F314" s="101">
        <v>0.47</v>
      </c>
      <c r="G314" s="105"/>
      <c r="H314" s="104"/>
      <c r="I314" s="101">
        <v>0.44</v>
      </c>
      <c r="J314" s="99">
        <f>Table336789101112131415[[#This Row],[Sched C/ County/ State]]-Table336789101112131415[[#This Row],[2025 Rate]]</f>
        <v>0.03</v>
      </c>
    </row>
    <row r="315" spans="1:10" x14ac:dyDescent="0.2">
      <c r="A315" s="93">
        <v>969</v>
      </c>
      <c r="B315" s="94" t="s">
        <v>247</v>
      </c>
      <c r="C315" s="95">
        <v>2024</v>
      </c>
      <c r="F315" s="101">
        <v>0.47</v>
      </c>
      <c r="G315" s="105"/>
      <c r="H315" s="104"/>
      <c r="I315" s="101">
        <v>0.44</v>
      </c>
      <c r="J315" s="99">
        <f>Table336789101112131415[[#This Row],[Sched C/ County/ State]]-Table336789101112131415[[#This Row],[2025 Rate]]</f>
        <v>0.03</v>
      </c>
    </row>
    <row r="316" spans="1:10" x14ac:dyDescent="0.2">
      <c r="A316" s="93">
        <v>970</v>
      </c>
      <c r="B316" s="94" t="s">
        <v>247</v>
      </c>
      <c r="C316" s="95">
        <v>2024</v>
      </c>
      <c r="F316" s="101">
        <v>0.47</v>
      </c>
      <c r="G316" s="105"/>
      <c r="H316" s="104"/>
      <c r="I316" s="101">
        <v>0.44</v>
      </c>
      <c r="J316" s="99">
        <f>Table336789101112131415[[#This Row],[Sched C/ County/ State]]-Table336789101112131415[[#This Row],[2025 Rate]]</f>
        <v>0.03</v>
      </c>
    </row>
    <row r="317" spans="1:10" x14ac:dyDescent="0.2">
      <c r="A317" s="93">
        <v>971</v>
      </c>
      <c r="B317" s="94" t="s">
        <v>247</v>
      </c>
      <c r="C317" s="95">
        <v>2024</v>
      </c>
      <c r="F317" s="101">
        <v>0.47</v>
      </c>
      <c r="G317" s="105"/>
      <c r="H317" s="104"/>
      <c r="I317" s="101">
        <v>0.44</v>
      </c>
      <c r="J317" s="99">
        <f>Table336789101112131415[[#This Row],[Sched C/ County/ State]]-Table336789101112131415[[#This Row],[2025 Rate]]</f>
        <v>0.03</v>
      </c>
    </row>
    <row r="318" spans="1:10" x14ac:dyDescent="0.2">
      <c r="A318" s="93">
        <v>972</v>
      </c>
      <c r="B318" s="94" t="s">
        <v>247</v>
      </c>
      <c r="C318" s="95">
        <v>2024</v>
      </c>
      <c r="F318" s="101">
        <v>0.47</v>
      </c>
      <c r="G318" s="105"/>
      <c r="H318" s="104"/>
      <c r="I318" s="101">
        <v>0.44</v>
      </c>
      <c r="J318" s="99">
        <f>Table336789101112131415[[#This Row],[Sched C/ County/ State]]-Table336789101112131415[[#This Row],[2025 Rate]]</f>
        <v>0.03</v>
      </c>
    </row>
    <row r="319" spans="1:10" x14ac:dyDescent="0.2">
      <c r="A319" s="93">
        <v>973</v>
      </c>
      <c r="B319" s="94" t="s">
        <v>247</v>
      </c>
      <c r="C319" s="95">
        <v>2024</v>
      </c>
      <c r="F319" s="101">
        <v>0.47</v>
      </c>
      <c r="G319" s="105"/>
      <c r="H319" s="104"/>
      <c r="I319" s="101">
        <v>0.44</v>
      </c>
      <c r="J319" s="99">
        <f>Table336789101112131415[[#This Row],[Sched C/ County/ State]]-Table336789101112131415[[#This Row],[2025 Rate]]</f>
        <v>0.03</v>
      </c>
    </row>
    <row r="320" spans="1:10" x14ac:dyDescent="0.2">
      <c r="A320" s="93">
        <v>974</v>
      </c>
      <c r="B320" s="94" t="s">
        <v>247</v>
      </c>
      <c r="C320" s="95">
        <v>2024</v>
      </c>
      <c r="F320" s="101">
        <v>0.47</v>
      </c>
      <c r="G320" s="105"/>
      <c r="H320" s="104"/>
      <c r="I320" s="101">
        <v>0.44</v>
      </c>
      <c r="J320" s="99">
        <f>Table336789101112131415[[#This Row],[Sched C/ County/ State]]-Table336789101112131415[[#This Row],[2025 Rate]]</f>
        <v>0.03</v>
      </c>
    </row>
    <row r="321" spans="1:10" x14ac:dyDescent="0.2">
      <c r="A321" s="93">
        <v>975</v>
      </c>
      <c r="B321" s="94" t="s">
        <v>247</v>
      </c>
      <c r="C321" s="95">
        <v>2024</v>
      </c>
      <c r="F321" s="101">
        <v>0.47</v>
      </c>
      <c r="G321" s="105"/>
      <c r="H321" s="104"/>
      <c r="I321" s="101">
        <v>0.44</v>
      </c>
      <c r="J321" s="99">
        <f>Table336789101112131415[[#This Row],[Sched C/ County/ State]]-Table336789101112131415[[#This Row],[2025 Rate]]</f>
        <v>0.03</v>
      </c>
    </row>
    <row r="322" spans="1:10" x14ac:dyDescent="0.2">
      <c r="A322" s="93">
        <v>976</v>
      </c>
      <c r="B322" s="94" t="s">
        <v>247</v>
      </c>
      <c r="C322" s="95">
        <v>2024</v>
      </c>
      <c r="F322" s="101">
        <v>0.47</v>
      </c>
      <c r="G322" s="105"/>
      <c r="H322" s="104"/>
      <c r="I322" s="101">
        <v>0.44</v>
      </c>
      <c r="J322" s="99">
        <f>Table336789101112131415[[#This Row],[Sched C/ County/ State]]-Table336789101112131415[[#This Row],[2025 Rate]]</f>
        <v>0.03</v>
      </c>
    </row>
    <row r="323" spans="1:10" x14ac:dyDescent="0.2">
      <c r="A323" s="93">
        <v>981</v>
      </c>
      <c r="B323" s="94" t="s">
        <v>247</v>
      </c>
      <c r="C323" s="95">
        <v>2023</v>
      </c>
      <c r="F323" s="101">
        <v>0.47</v>
      </c>
      <c r="G323" s="105"/>
      <c r="H323" s="104"/>
      <c r="I323" s="101">
        <v>0.44</v>
      </c>
      <c r="J323" s="99">
        <f>Table336789101112131415[[#This Row],[Sched C/ County/ State]]-Table336789101112131415[[#This Row],[2025 Rate]]</f>
        <v>0.03</v>
      </c>
    </row>
    <row r="324" spans="1:10" x14ac:dyDescent="0.2">
      <c r="A324" s="93">
        <v>982</v>
      </c>
      <c r="B324" s="94" t="s">
        <v>247</v>
      </c>
      <c r="C324" s="95">
        <v>2023</v>
      </c>
      <c r="F324" s="101">
        <v>0.47</v>
      </c>
      <c r="G324" s="105"/>
      <c r="H324" s="104"/>
      <c r="I324" s="101">
        <v>0.44</v>
      </c>
      <c r="J324" s="99">
        <f>Table336789101112131415[[#This Row],[Sched C/ County/ State]]-Table336789101112131415[[#This Row],[2025 Rate]]</f>
        <v>0.03</v>
      </c>
    </row>
    <row r="325" spans="1:10" x14ac:dyDescent="0.2">
      <c r="A325" s="93">
        <v>987</v>
      </c>
      <c r="B325" s="94" t="s">
        <v>247</v>
      </c>
      <c r="C325" s="95">
        <v>2020</v>
      </c>
      <c r="D325" s="96" t="s">
        <v>259</v>
      </c>
      <c r="E325" s="96" t="s">
        <v>250</v>
      </c>
      <c r="F325" s="101">
        <v>0.47</v>
      </c>
      <c r="G325" s="103"/>
      <c r="H325" s="104"/>
      <c r="I325" s="101">
        <v>0.44</v>
      </c>
      <c r="J325" s="99">
        <f>Table336789101112131415[[#This Row],[Sched C/ County/ State]]-Table336789101112131415[[#This Row],[2025 Rate]]</f>
        <v>0.03</v>
      </c>
    </row>
    <row r="326" spans="1:10" x14ac:dyDescent="0.2">
      <c r="A326" s="93">
        <v>988</v>
      </c>
      <c r="B326" s="94" t="s">
        <v>260</v>
      </c>
      <c r="C326" s="95">
        <v>2019</v>
      </c>
      <c r="D326" s="96" t="s">
        <v>248</v>
      </c>
      <c r="F326" s="101">
        <v>0.47</v>
      </c>
      <c r="G326" s="103"/>
      <c r="H326" s="104"/>
      <c r="I326" s="101">
        <v>0.44</v>
      </c>
      <c r="J326" s="99">
        <f>Table336789101112131415[[#This Row],[Sched C/ County/ State]]-Table336789101112131415[[#This Row],[2025 Rate]]</f>
        <v>0.03</v>
      </c>
    </row>
    <row r="327" spans="1:10" x14ac:dyDescent="0.2">
      <c r="A327" s="93">
        <v>989</v>
      </c>
      <c r="B327" s="94" t="s">
        <v>260</v>
      </c>
      <c r="C327" s="95">
        <v>2019</v>
      </c>
      <c r="D327" s="96" t="s">
        <v>205</v>
      </c>
      <c r="F327" s="101">
        <v>0.47</v>
      </c>
      <c r="G327" s="103"/>
      <c r="H327" s="104"/>
      <c r="I327" s="101">
        <v>0.44</v>
      </c>
      <c r="J327" s="99">
        <f>Table336789101112131415[[#This Row],[Sched C/ County/ State]]-Table336789101112131415[[#This Row],[2025 Rate]]</f>
        <v>0.03</v>
      </c>
    </row>
    <row r="328" spans="1:10" x14ac:dyDescent="0.2">
      <c r="A328" s="93">
        <v>1031</v>
      </c>
      <c r="B328" s="94" t="s">
        <v>261</v>
      </c>
      <c r="C328" s="95">
        <v>2021</v>
      </c>
      <c r="D328" s="96" t="s">
        <v>262</v>
      </c>
      <c r="E328" s="96" t="s">
        <v>263</v>
      </c>
      <c r="F328" s="101">
        <v>62.98</v>
      </c>
      <c r="G328" s="103"/>
      <c r="H328" s="104"/>
      <c r="I328" s="101">
        <v>58.43</v>
      </c>
      <c r="J328" s="99">
        <f>Table336789101112131415[[#This Row],[Sched C/ County/ State]]-Table336789101112131415[[#This Row],[2025 Rate]]</f>
        <v>4.55</v>
      </c>
    </row>
    <row r="329" spans="1:10" x14ac:dyDescent="0.2">
      <c r="A329" s="93">
        <v>1036</v>
      </c>
      <c r="B329" s="96" t="s">
        <v>264</v>
      </c>
      <c r="C329" s="95">
        <v>2002</v>
      </c>
      <c r="D329" s="96" t="s">
        <v>214</v>
      </c>
      <c r="E329" s="96" t="s">
        <v>265</v>
      </c>
      <c r="F329" s="101">
        <v>13.84</v>
      </c>
      <c r="G329" s="103">
        <f>Table336789101112131415[[#This Row],[Sched C/ County/ State]]+0.3</f>
        <v>14.14</v>
      </c>
      <c r="H329" s="104"/>
      <c r="I329" s="101">
        <v>12.95</v>
      </c>
      <c r="J329" s="99">
        <f>Table336789101112131415[[#This Row],[Sched C/ County/ State]]-Table336789101112131415[[#This Row],[2025 Rate]]</f>
        <v>0.89</v>
      </c>
    </row>
    <row r="330" spans="1:10" x14ac:dyDescent="0.2">
      <c r="A330" s="93">
        <v>1106</v>
      </c>
      <c r="B330" s="96" t="s">
        <v>266</v>
      </c>
      <c r="C330" s="95">
        <v>2001</v>
      </c>
      <c r="D330" s="96" t="s">
        <v>136</v>
      </c>
      <c r="E330" s="96" t="s">
        <v>267</v>
      </c>
      <c r="F330" s="101">
        <v>37.99</v>
      </c>
      <c r="G330" s="103">
        <f>Table336789101112131415[[#This Row],[Sched C/ County/ State]]+0.3</f>
        <v>38.29</v>
      </c>
      <c r="H330" s="104"/>
      <c r="I330" s="101">
        <v>35.25</v>
      </c>
      <c r="J330" s="99">
        <f>Table336789101112131415[[#This Row],[Sched C/ County/ State]]-Table336789101112131415[[#This Row],[2025 Rate]]</f>
        <v>2.74</v>
      </c>
    </row>
    <row r="331" spans="1:10" x14ac:dyDescent="0.2">
      <c r="A331" s="93">
        <v>1107</v>
      </c>
      <c r="B331" s="94" t="s">
        <v>268</v>
      </c>
      <c r="C331" s="95">
        <v>2019</v>
      </c>
      <c r="D331" s="96" t="s">
        <v>237</v>
      </c>
      <c r="E331" s="96" t="s">
        <v>269</v>
      </c>
      <c r="F331" s="101">
        <v>15.13</v>
      </c>
      <c r="G331" s="103">
        <f>Table336789101112131415[[#This Row],[Sched C/ County/ State]]+0.3</f>
        <v>15.43</v>
      </c>
      <c r="H331" s="104"/>
      <c r="I331" s="101">
        <v>14.16</v>
      </c>
      <c r="J331" s="99">
        <f>Table336789101112131415[[#This Row],[Sched C/ County/ State]]-Table336789101112131415[[#This Row],[2025 Rate]]</f>
        <v>0.97</v>
      </c>
    </row>
    <row r="332" spans="1:10" x14ac:dyDescent="0.2">
      <c r="A332" s="93">
        <v>1108</v>
      </c>
      <c r="B332" s="94" t="s">
        <v>268</v>
      </c>
      <c r="C332" s="95">
        <v>2016</v>
      </c>
      <c r="D332" s="96" t="s">
        <v>237</v>
      </c>
      <c r="E332" s="96" t="s">
        <v>269</v>
      </c>
      <c r="F332" s="101">
        <v>15.13</v>
      </c>
      <c r="G332" s="103">
        <f>Table336789101112131415[[#This Row],[Sched C/ County/ State]]+0.3</f>
        <v>15.43</v>
      </c>
      <c r="H332" s="106"/>
      <c r="I332" s="101">
        <v>14.16</v>
      </c>
      <c r="J332" s="99">
        <f>Table336789101112131415[[#This Row],[Sched C/ County/ State]]-Table336789101112131415[[#This Row],[2025 Rate]]</f>
        <v>0.97</v>
      </c>
    </row>
    <row r="333" spans="1:10" x14ac:dyDescent="0.2">
      <c r="A333" s="93">
        <v>1124</v>
      </c>
      <c r="B333" s="96" t="s">
        <v>270</v>
      </c>
      <c r="C333" s="95">
        <v>2011</v>
      </c>
      <c r="D333" s="96" t="s">
        <v>136</v>
      </c>
      <c r="F333" s="101">
        <v>33.4</v>
      </c>
      <c r="G333" s="103">
        <f>Table336789101112131415[[#This Row],[Sched C/ County/ State]]+0.3</f>
        <v>33.700000000000003</v>
      </c>
      <c r="H333" s="104"/>
      <c r="I333" s="101">
        <v>30.99</v>
      </c>
      <c r="J333" s="99">
        <f>Table336789101112131415[[#This Row],[Sched C/ County/ State]]-Table336789101112131415[[#This Row],[2025 Rate]]</f>
        <v>2.41</v>
      </c>
    </row>
    <row r="334" spans="1:10" x14ac:dyDescent="0.2">
      <c r="A334" s="93">
        <v>1131</v>
      </c>
      <c r="B334" s="94" t="s">
        <v>271</v>
      </c>
      <c r="C334" s="95">
        <v>2017</v>
      </c>
      <c r="D334" s="96" t="s">
        <v>237</v>
      </c>
      <c r="E334" s="96" t="s">
        <v>272</v>
      </c>
      <c r="F334" s="101">
        <v>33.56</v>
      </c>
      <c r="G334" s="103">
        <f>Table336789101112131415[[#This Row],[Sched C/ County/ State]]+0.3</f>
        <v>33.86</v>
      </c>
      <c r="H334" s="104"/>
      <c r="I334" s="101">
        <v>31.41</v>
      </c>
      <c r="J334" s="99">
        <f>Table336789101112131415[[#This Row],[Sched C/ County/ State]]-Table336789101112131415[[#This Row],[2025 Rate]]</f>
        <v>2.15</v>
      </c>
    </row>
    <row r="335" spans="1:10" x14ac:dyDescent="0.2">
      <c r="A335" s="93">
        <v>1132</v>
      </c>
      <c r="B335" s="94" t="s">
        <v>271</v>
      </c>
      <c r="C335" s="95">
        <v>2017</v>
      </c>
      <c r="D335" s="96" t="s">
        <v>237</v>
      </c>
      <c r="E335" s="96" t="s">
        <v>272</v>
      </c>
      <c r="F335" s="101">
        <v>33.56</v>
      </c>
      <c r="G335" s="103">
        <f>Table336789101112131415[[#This Row],[Sched C/ County/ State]]+0.3</f>
        <v>33.86</v>
      </c>
      <c r="H335" s="104"/>
      <c r="I335" s="101">
        <v>31.41</v>
      </c>
      <c r="J335" s="99">
        <f>Table336789101112131415[[#This Row],[Sched C/ County/ State]]-Table336789101112131415[[#This Row],[2025 Rate]]</f>
        <v>2.15</v>
      </c>
    </row>
    <row r="336" spans="1:10" x14ac:dyDescent="0.2">
      <c r="A336" s="93">
        <v>1133</v>
      </c>
      <c r="B336" s="94" t="s">
        <v>271</v>
      </c>
      <c r="C336" s="95">
        <v>2017</v>
      </c>
      <c r="D336" s="96" t="s">
        <v>237</v>
      </c>
      <c r="E336" s="96" t="s">
        <v>272</v>
      </c>
      <c r="F336" s="101">
        <v>33.56</v>
      </c>
      <c r="G336" s="103">
        <f>Table336789101112131415[[#This Row],[Sched C/ County/ State]]+0.3</f>
        <v>33.86</v>
      </c>
      <c r="H336" s="104"/>
      <c r="I336" s="101">
        <v>31.41</v>
      </c>
      <c r="J336" s="99">
        <f>Table336789101112131415[[#This Row],[Sched C/ County/ State]]-Table336789101112131415[[#This Row],[2025 Rate]]</f>
        <v>2.15</v>
      </c>
    </row>
    <row r="337" spans="1:10" x14ac:dyDescent="0.2">
      <c r="A337" s="93">
        <v>1134</v>
      </c>
      <c r="B337" s="94" t="s">
        <v>271</v>
      </c>
      <c r="C337" s="95">
        <v>2017</v>
      </c>
      <c r="D337" s="96" t="s">
        <v>237</v>
      </c>
      <c r="E337" s="96" t="s">
        <v>272</v>
      </c>
      <c r="F337" s="101">
        <v>33.56</v>
      </c>
      <c r="G337" s="103">
        <f>Table336789101112131415[[#This Row],[Sched C/ County/ State]]+0.3</f>
        <v>33.86</v>
      </c>
      <c r="H337" s="104"/>
      <c r="I337" s="101">
        <v>31.41</v>
      </c>
      <c r="J337" s="99">
        <f>Table336789101112131415[[#This Row],[Sched C/ County/ State]]-Table336789101112131415[[#This Row],[2025 Rate]]</f>
        <v>2.15</v>
      </c>
    </row>
    <row r="338" spans="1:10" x14ac:dyDescent="0.2">
      <c r="A338" s="93">
        <v>1135</v>
      </c>
      <c r="B338" s="94" t="s">
        <v>273</v>
      </c>
      <c r="C338" s="95">
        <v>2017</v>
      </c>
      <c r="D338" s="96" t="s">
        <v>237</v>
      </c>
      <c r="E338" s="96" t="s">
        <v>269</v>
      </c>
      <c r="F338" s="101">
        <v>15.13</v>
      </c>
      <c r="G338" s="103">
        <f>Table336789101112131415[[#This Row],[Sched C/ County/ State]]+0.3</f>
        <v>15.43</v>
      </c>
      <c r="H338" s="104"/>
      <c r="I338" s="101">
        <v>14.16</v>
      </c>
      <c r="J338" s="99">
        <f>Table336789101112131415[[#This Row],[Sched C/ County/ State]]-Table336789101112131415[[#This Row],[2025 Rate]]</f>
        <v>0.97</v>
      </c>
    </row>
    <row r="339" spans="1:10" x14ac:dyDescent="0.2">
      <c r="A339" s="93">
        <v>1136</v>
      </c>
      <c r="B339" s="94" t="s">
        <v>271</v>
      </c>
      <c r="C339" s="95">
        <v>2018</v>
      </c>
      <c r="D339" s="96" t="s">
        <v>237</v>
      </c>
      <c r="E339" s="96" t="s">
        <v>272</v>
      </c>
      <c r="F339" s="101">
        <v>33.56</v>
      </c>
      <c r="G339" s="103">
        <f>Table336789101112131415[[#This Row],[Sched C/ County/ State]]+0.3</f>
        <v>33.86</v>
      </c>
      <c r="H339" s="104"/>
      <c r="I339" s="101">
        <v>31.41</v>
      </c>
      <c r="J339" s="99">
        <f>Table336789101112131415[[#This Row],[Sched C/ County/ State]]-Table336789101112131415[[#This Row],[2025 Rate]]</f>
        <v>2.15</v>
      </c>
    </row>
    <row r="340" spans="1:10" x14ac:dyDescent="0.2">
      <c r="A340" s="93">
        <v>1137</v>
      </c>
      <c r="B340" s="94" t="s">
        <v>271</v>
      </c>
      <c r="C340" s="95">
        <v>2018</v>
      </c>
      <c r="D340" s="96" t="s">
        <v>237</v>
      </c>
      <c r="E340" s="96" t="s">
        <v>272</v>
      </c>
      <c r="F340" s="101">
        <v>33.56</v>
      </c>
      <c r="G340" s="103">
        <f>Table336789101112131415[[#This Row],[Sched C/ County/ State]]+0.3</f>
        <v>33.86</v>
      </c>
      <c r="H340" s="104"/>
      <c r="I340" s="101">
        <v>31.41</v>
      </c>
      <c r="J340" s="99">
        <f>Table336789101112131415[[#This Row],[Sched C/ County/ State]]-Table336789101112131415[[#This Row],[2025 Rate]]</f>
        <v>2.15</v>
      </c>
    </row>
    <row r="341" spans="1:10" x14ac:dyDescent="0.2">
      <c r="A341" s="93">
        <v>1138</v>
      </c>
      <c r="B341" s="94" t="s">
        <v>271</v>
      </c>
      <c r="C341" s="95">
        <v>2018</v>
      </c>
      <c r="D341" s="96" t="s">
        <v>237</v>
      </c>
      <c r="E341" s="96" t="s">
        <v>272</v>
      </c>
      <c r="F341" s="101">
        <v>33.56</v>
      </c>
      <c r="G341" s="103">
        <f>Table336789101112131415[[#This Row],[Sched C/ County/ State]]+0.3</f>
        <v>33.86</v>
      </c>
      <c r="H341" s="104"/>
      <c r="I341" s="101">
        <v>31.41</v>
      </c>
      <c r="J341" s="99">
        <f>Table336789101112131415[[#This Row],[Sched C/ County/ State]]-Table336789101112131415[[#This Row],[2025 Rate]]</f>
        <v>2.15</v>
      </c>
    </row>
    <row r="342" spans="1:10" x14ac:dyDescent="0.2">
      <c r="A342" s="93" t="s">
        <v>274</v>
      </c>
      <c r="B342" s="96" t="s">
        <v>275</v>
      </c>
      <c r="C342" s="95">
        <v>2003</v>
      </c>
      <c r="D342" s="96" t="s">
        <v>136</v>
      </c>
      <c r="E342" s="96" t="s">
        <v>276</v>
      </c>
      <c r="F342" s="101">
        <v>46.86</v>
      </c>
      <c r="G342" s="103">
        <f>Table336789101112131415[[#This Row],[Sched C/ County/ State]]+0.3</f>
        <v>47.16</v>
      </c>
      <c r="H342" s="104"/>
      <c r="I342" s="101">
        <v>43.85</v>
      </c>
      <c r="J342" s="99">
        <f>Table336789101112131415[[#This Row],[Sched C/ County/ State]]-Table336789101112131415[[#This Row],[2025 Rate]]</f>
        <v>3.01</v>
      </c>
    </row>
    <row r="343" spans="1:10" ht="30" x14ac:dyDescent="0.2">
      <c r="A343" s="93">
        <v>1149</v>
      </c>
      <c r="B343" s="96" t="s">
        <v>277</v>
      </c>
      <c r="C343" s="95">
        <v>2014</v>
      </c>
      <c r="D343" s="96" t="s">
        <v>136</v>
      </c>
      <c r="E343" s="96" t="s">
        <v>278</v>
      </c>
      <c r="F343" s="101">
        <v>33.4</v>
      </c>
      <c r="G343" s="103">
        <f>Table336789101112131415[[#This Row],[Sched C/ County/ State]]+0.3</f>
        <v>33.700000000000003</v>
      </c>
      <c r="H343" s="104"/>
      <c r="I343" s="101">
        <v>30.99</v>
      </c>
      <c r="J343" s="99">
        <f>Table336789101112131415[[#This Row],[Sched C/ County/ State]]-Table336789101112131415[[#This Row],[2025 Rate]]</f>
        <v>2.41</v>
      </c>
    </row>
    <row r="344" spans="1:10" ht="30" x14ac:dyDescent="0.2">
      <c r="A344" s="93">
        <v>1150</v>
      </c>
      <c r="B344" s="96" t="s">
        <v>279</v>
      </c>
      <c r="C344" s="95">
        <v>2014</v>
      </c>
      <c r="D344" s="96" t="s">
        <v>136</v>
      </c>
      <c r="E344" s="96" t="s">
        <v>280</v>
      </c>
      <c r="F344" s="101">
        <v>33.4</v>
      </c>
      <c r="G344" s="103">
        <f>Table336789101112131415[[#This Row],[Sched C/ County/ State]]+0.3</f>
        <v>33.700000000000003</v>
      </c>
      <c r="H344" s="104"/>
      <c r="I344" s="101">
        <v>30.99</v>
      </c>
      <c r="J344" s="99">
        <f>Table336789101112131415[[#This Row],[Sched C/ County/ State]]-Table336789101112131415[[#This Row],[2025 Rate]]</f>
        <v>2.41</v>
      </c>
    </row>
    <row r="345" spans="1:10" x14ac:dyDescent="0.2">
      <c r="A345" s="93">
        <v>1152</v>
      </c>
      <c r="B345" s="96" t="s">
        <v>281</v>
      </c>
      <c r="C345" s="95">
        <v>2012</v>
      </c>
      <c r="D345" s="96" t="s">
        <v>237</v>
      </c>
      <c r="E345" s="96" t="s">
        <v>272</v>
      </c>
      <c r="F345" s="101">
        <v>46.86</v>
      </c>
      <c r="G345" s="103">
        <f>Table336789101112131415[[#This Row],[Sched C/ County/ State]]+0.3</f>
        <v>47.16</v>
      </c>
      <c r="H345" s="104"/>
      <c r="I345" s="101">
        <v>43.85</v>
      </c>
      <c r="J345" s="99">
        <f>Table336789101112131415[[#This Row],[Sched C/ County/ State]]-Table336789101112131415[[#This Row],[2025 Rate]]</f>
        <v>3.01</v>
      </c>
    </row>
    <row r="346" spans="1:10" x14ac:dyDescent="0.2">
      <c r="A346" s="93">
        <v>1153</v>
      </c>
      <c r="B346" s="96" t="s">
        <v>281</v>
      </c>
      <c r="C346" s="95">
        <v>2008</v>
      </c>
      <c r="D346" s="96" t="s">
        <v>237</v>
      </c>
      <c r="E346" s="96" t="s">
        <v>282</v>
      </c>
      <c r="F346" s="101">
        <v>46.86</v>
      </c>
      <c r="G346" s="103">
        <f>Table336789101112131415[[#This Row],[Sched C/ County/ State]]+0.3</f>
        <v>47.16</v>
      </c>
      <c r="H346" s="104"/>
      <c r="I346" s="101">
        <v>43.85</v>
      </c>
      <c r="J346" s="99">
        <f>Table336789101112131415[[#This Row],[Sched C/ County/ State]]-Table336789101112131415[[#This Row],[2025 Rate]]</f>
        <v>3.01</v>
      </c>
    </row>
    <row r="347" spans="1:10" x14ac:dyDescent="0.2">
      <c r="A347" s="93">
        <v>1159</v>
      </c>
      <c r="B347" s="96" t="s">
        <v>283</v>
      </c>
      <c r="C347" s="95">
        <v>2014</v>
      </c>
      <c r="D347" s="96" t="s">
        <v>136</v>
      </c>
      <c r="E347" s="96" t="s">
        <v>284</v>
      </c>
      <c r="F347" s="101">
        <v>37.99</v>
      </c>
      <c r="G347" s="103">
        <f>Table336789101112131415[[#This Row],[Sched C/ County/ State]]+0.3</f>
        <v>38.29</v>
      </c>
      <c r="H347" s="104"/>
      <c r="I347" s="101">
        <v>35.25</v>
      </c>
      <c r="J347" s="99">
        <f>Table336789101112131415[[#This Row],[Sched C/ County/ State]]-Table336789101112131415[[#This Row],[2025 Rate]]</f>
        <v>2.74</v>
      </c>
    </row>
    <row r="348" spans="1:10" x14ac:dyDescent="0.2">
      <c r="A348" s="93">
        <v>1160</v>
      </c>
      <c r="B348" s="94" t="s">
        <v>270</v>
      </c>
      <c r="C348" s="95">
        <v>2021</v>
      </c>
      <c r="D348" s="96" t="s">
        <v>214</v>
      </c>
      <c r="E348" s="96">
        <v>5500</v>
      </c>
      <c r="F348" s="101">
        <v>33.56</v>
      </c>
      <c r="G348" s="103">
        <f>Table336789101112131415[[#This Row],[Sched C/ County/ State]]+0.3</f>
        <v>33.86</v>
      </c>
      <c r="H348" s="104"/>
      <c r="I348" s="101">
        <v>31.41</v>
      </c>
      <c r="J348" s="99">
        <f>Table336789101112131415[[#This Row],[Sched C/ County/ State]]-Table336789101112131415[[#This Row],[2025 Rate]]</f>
        <v>2.15</v>
      </c>
    </row>
    <row r="349" spans="1:10" x14ac:dyDescent="0.2">
      <c r="A349" s="93">
        <v>1161</v>
      </c>
      <c r="B349" s="94" t="s">
        <v>271</v>
      </c>
      <c r="C349" s="95">
        <v>2021</v>
      </c>
      <c r="D349" s="96" t="s">
        <v>214</v>
      </c>
      <c r="E349" s="96">
        <v>5500</v>
      </c>
      <c r="F349" s="101">
        <v>33.56</v>
      </c>
      <c r="G349" s="103">
        <f>Table336789101112131415[[#This Row],[Sched C/ County/ State]]+0.3</f>
        <v>33.86</v>
      </c>
      <c r="H349" s="104"/>
      <c r="I349" s="101">
        <v>31.41</v>
      </c>
      <c r="J349" s="99">
        <f>Table336789101112131415[[#This Row],[Sched C/ County/ State]]-Table336789101112131415[[#This Row],[2025 Rate]]</f>
        <v>2.15</v>
      </c>
    </row>
    <row r="350" spans="1:10" x14ac:dyDescent="0.2">
      <c r="A350" s="93" t="s">
        <v>285</v>
      </c>
      <c r="B350" s="96" t="s">
        <v>286</v>
      </c>
      <c r="C350" s="95">
        <v>1998</v>
      </c>
      <c r="D350" s="96" t="s">
        <v>136</v>
      </c>
      <c r="E350" s="96" t="s">
        <v>287</v>
      </c>
      <c r="F350" s="101">
        <v>63.35</v>
      </c>
      <c r="G350" s="103">
        <f>Table336789101112131415[[#This Row],[Sched C/ County/ State]]+0.3</f>
        <v>63.65</v>
      </c>
      <c r="H350" s="104"/>
      <c r="I350" s="101">
        <v>59.28</v>
      </c>
      <c r="J350" s="99">
        <f>Table336789101112131415[[#This Row],[Sched C/ County/ State]]-Table336789101112131415[[#This Row],[2025 Rate]]</f>
        <v>4.07</v>
      </c>
    </row>
    <row r="351" spans="1:10" ht="30" x14ac:dyDescent="0.2">
      <c r="A351" s="93">
        <v>1231</v>
      </c>
      <c r="B351" s="94" t="s">
        <v>288</v>
      </c>
      <c r="C351" s="95">
        <v>2021</v>
      </c>
      <c r="D351" s="96" t="s">
        <v>289</v>
      </c>
      <c r="E351" s="96">
        <v>4700</v>
      </c>
      <c r="F351" s="101">
        <v>84.54</v>
      </c>
      <c r="G351" s="103">
        <f>Table336789101112131415[[#This Row],[Sched C/ County/ State]]+0.3</f>
        <v>84.84</v>
      </c>
      <c r="H351" s="104"/>
      <c r="I351" s="101">
        <v>79.11</v>
      </c>
      <c r="J351" s="99">
        <f>Table336789101112131415[[#This Row],[Sched C/ County/ State]]-Table336789101112131415[[#This Row],[2025 Rate]]</f>
        <v>5.43</v>
      </c>
    </row>
    <row r="352" spans="1:10" x14ac:dyDescent="0.2">
      <c r="A352" s="93">
        <v>1235</v>
      </c>
      <c r="B352" s="96" t="s">
        <v>290</v>
      </c>
      <c r="C352" s="95">
        <v>2004</v>
      </c>
      <c r="D352" s="96" t="s">
        <v>211</v>
      </c>
      <c r="E352" s="96" t="s">
        <v>291</v>
      </c>
      <c r="F352" s="101">
        <v>37.99</v>
      </c>
      <c r="G352" s="103">
        <f>Table336789101112131415[[#This Row],[Sched C/ County/ State]]+0.3</f>
        <v>38.29</v>
      </c>
      <c r="H352" s="104"/>
      <c r="I352" s="101">
        <v>35.25</v>
      </c>
      <c r="J352" s="99">
        <f>Table336789101112131415[[#This Row],[Sched C/ County/ State]]-Table336789101112131415[[#This Row],[2025 Rate]]</f>
        <v>2.74</v>
      </c>
    </row>
    <row r="353" spans="1:10" ht="30" x14ac:dyDescent="0.2">
      <c r="A353" s="93">
        <v>1258</v>
      </c>
      <c r="B353" s="96" t="s">
        <v>292</v>
      </c>
      <c r="C353" s="95">
        <v>2013</v>
      </c>
      <c r="D353" s="96" t="s">
        <v>136</v>
      </c>
      <c r="E353" s="96" t="s">
        <v>293</v>
      </c>
      <c r="F353" s="101">
        <v>84.54</v>
      </c>
      <c r="G353" s="103">
        <f>Table336789101112131415[[#This Row],[Sched C/ County/ State]]+0.3</f>
        <v>84.84</v>
      </c>
      <c r="H353" s="104"/>
      <c r="I353" s="101">
        <v>79.11</v>
      </c>
      <c r="J353" s="99">
        <f>Table336789101112131415[[#This Row],[Sched C/ County/ State]]-Table336789101112131415[[#This Row],[2025 Rate]]</f>
        <v>5.43</v>
      </c>
    </row>
    <row r="354" spans="1:10" ht="30" x14ac:dyDescent="0.2">
      <c r="A354" s="93">
        <v>1263</v>
      </c>
      <c r="B354" s="94" t="s">
        <v>294</v>
      </c>
      <c r="C354" s="95">
        <v>2020</v>
      </c>
      <c r="D354" s="96" t="s">
        <v>295</v>
      </c>
      <c r="E354" s="96" t="s">
        <v>296</v>
      </c>
      <c r="F354" s="101">
        <v>63.35</v>
      </c>
      <c r="G354" s="103">
        <f>Table336789101112131415[[#This Row],[Sched C/ County/ State]]+0.3</f>
        <v>63.65</v>
      </c>
      <c r="H354" s="104"/>
      <c r="I354" s="101">
        <v>59.28</v>
      </c>
      <c r="J354" s="99">
        <f>Table336789101112131415[[#This Row],[Sched C/ County/ State]]-Table336789101112131415[[#This Row],[2025 Rate]]</f>
        <v>4.07</v>
      </c>
    </row>
    <row r="355" spans="1:10" ht="30" x14ac:dyDescent="0.2">
      <c r="A355" s="93">
        <v>1264</v>
      </c>
      <c r="B355" s="94" t="s">
        <v>294</v>
      </c>
      <c r="C355" s="95">
        <v>2020</v>
      </c>
      <c r="D355" s="96" t="s">
        <v>295</v>
      </c>
      <c r="E355" s="96" t="s">
        <v>296</v>
      </c>
      <c r="F355" s="101">
        <v>63.35</v>
      </c>
      <c r="G355" s="103">
        <f>Table336789101112131415[[#This Row],[Sched C/ County/ State]]+0.3</f>
        <v>63.65</v>
      </c>
      <c r="H355" s="104"/>
      <c r="I355" s="101">
        <v>59.28</v>
      </c>
      <c r="J355" s="99">
        <f>Table336789101112131415[[#This Row],[Sched C/ County/ State]]-Table336789101112131415[[#This Row],[2025 Rate]]</f>
        <v>4.07</v>
      </c>
    </row>
    <row r="356" spans="1:10" x14ac:dyDescent="0.2">
      <c r="A356" s="93">
        <v>1265</v>
      </c>
      <c r="B356" s="94" t="s">
        <v>271</v>
      </c>
      <c r="C356" s="95">
        <v>2020</v>
      </c>
      <c r="D356" s="96" t="s">
        <v>295</v>
      </c>
      <c r="E356" s="96" t="s">
        <v>297</v>
      </c>
      <c r="F356" s="101">
        <v>68.33</v>
      </c>
      <c r="G356" s="103">
        <f>Table336789101112131415[[#This Row],[Sched C/ County/ State]]+0.3</f>
        <v>68.63</v>
      </c>
      <c r="H356" s="104"/>
      <c r="I356" s="101">
        <v>63.45</v>
      </c>
      <c r="J356" s="99">
        <f>Table336789101112131415[[#This Row],[Sched C/ County/ State]]-Table336789101112131415[[#This Row],[2025 Rate]]</f>
        <v>4.88</v>
      </c>
    </row>
    <row r="357" spans="1:10" x14ac:dyDescent="0.2">
      <c r="A357" s="93">
        <v>1266</v>
      </c>
      <c r="B357" s="94" t="s">
        <v>271</v>
      </c>
      <c r="C357" s="95">
        <v>2020</v>
      </c>
      <c r="D357" s="96" t="s">
        <v>295</v>
      </c>
      <c r="E357" s="96" t="s">
        <v>297</v>
      </c>
      <c r="F357" s="101">
        <v>68.33</v>
      </c>
      <c r="G357" s="103">
        <f>Table336789101112131415[[#This Row],[Sched C/ County/ State]]+0.3</f>
        <v>68.63</v>
      </c>
      <c r="H357" s="104"/>
      <c r="I357" s="101">
        <v>63.45</v>
      </c>
      <c r="J357" s="99">
        <f>Table336789101112131415[[#This Row],[Sched C/ County/ State]]-Table336789101112131415[[#This Row],[2025 Rate]]</f>
        <v>4.88</v>
      </c>
    </row>
    <row r="358" spans="1:10" x14ac:dyDescent="0.2">
      <c r="A358" s="93">
        <v>1267</v>
      </c>
      <c r="B358" s="94" t="s">
        <v>271</v>
      </c>
      <c r="C358" s="95">
        <v>2020</v>
      </c>
      <c r="D358" s="96" t="s">
        <v>295</v>
      </c>
      <c r="E358" s="96" t="s">
        <v>297</v>
      </c>
      <c r="F358" s="101">
        <v>68.33</v>
      </c>
      <c r="G358" s="103">
        <f>Table336789101112131415[[#This Row],[Sched C/ County/ State]]+0.3</f>
        <v>68.63</v>
      </c>
      <c r="H358" s="104"/>
      <c r="I358" s="101">
        <v>63.45</v>
      </c>
      <c r="J358" s="99">
        <f>Table336789101112131415[[#This Row],[Sched C/ County/ State]]-Table336789101112131415[[#This Row],[2025 Rate]]</f>
        <v>4.88</v>
      </c>
    </row>
    <row r="359" spans="1:10" x14ac:dyDescent="0.2">
      <c r="A359" s="93">
        <v>1268</v>
      </c>
      <c r="B359" s="94" t="s">
        <v>298</v>
      </c>
      <c r="C359" s="95">
        <v>2016</v>
      </c>
      <c r="D359" s="96" t="s">
        <v>299</v>
      </c>
      <c r="E359" s="96" t="s">
        <v>300</v>
      </c>
      <c r="F359" s="101">
        <v>122.33</v>
      </c>
      <c r="G359" s="103">
        <f>Table336789101112131415[[#This Row],[Sched C/ County/ State]]+0.3</f>
        <v>122.63</v>
      </c>
      <c r="H359" s="106"/>
      <c r="I359" s="101">
        <v>114.48</v>
      </c>
      <c r="J359" s="99">
        <f>Table336789101112131415[[#This Row],[Sched C/ County/ State]]-Table336789101112131415[[#This Row],[2025 Rate]]</f>
        <v>7.85</v>
      </c>
    </row>
    <row r="360" spans="1:10" x14ac:dyDescent="0.2">
      <c r="A360" s="93">
        <v>1271</v>
      </c>
      <c r="B360" s="94" t="s">
        <v>298</v>
      </c>
      <c r="C360" s="95">
        <v>2023</v>
      </c>
      <c r="D360" s="96" t="s">
        <v>299</v>
      </c>
      <c r="E360" s="96" t="s">
        <v>300</v>
      </c>
      <c r="F360" s="101">
        <v>122.33</v>
      </c>
      <c r="G360" s="103">
        <f>Table336789101112131415[[#This Row],[Sched C/ County/ State]]+0.3</f>
        <v>122.63</v>
      </c>
      <c r="H360" s="106"/>
      <c r="I360" s="101">
        <v>114.48</v>
      </c>
      <c r="J360" s="99">
        <f>Table336789101112131415[[#This Row],[Sched C/ County/ State]]-Table336789101112131415[[#This Row],[2025 Rate]]</f>
        <v>7.85</v>
      </c>
    </row>
    <row r="361" spans="1:10" x14ac:dyDescent="0.2">
      <c r="A361" s="93">
        <v>1275</v>
      </c>
      <c r="B361" s="94" t="s">
        <v>298</v>
      </c>
      <c r="C361" s="95">
        <v>2023</v>
      </c>
      <c r="D361" s="96" t="s">
        <v>299</v>
      </c>
      <c r="E361" s="96" t="s">
        <v>300</v>
      </c>
      <c r="F361" s="101">
        <v>122.33</v>
      </c>
      <c r="G361" s="103">
        <f>Table336789101112131415[[#This Row],[Sched C/ County/ State]]+0.3</f>
        <v>122.63</v>
      </c>
      <c r="H361" s="106"/>
      <c r="I361" s="101">
        <v>114.48</v>
      </c>
      <c r="J361" s="99">
        <f>Table336789101112131415[[#This Row],[Sched C/ County/ State]]-Table336789101112131415[[#This Row],[2025 Rate]]</f>
        <v>7.85</v>
      </c>
    </row>
    <row r="362" spans="1:10" ht="30" x14ac:dyDescent="0.2">
      <c r="A362" s="93" t="s">
        <v>301</v>
      </c>
      <c r="B362" s="94" t="s">
        <v>302</v>
      </c>
      <c r="C362" s="95">
        <v>2016</v>
      </c>
      <c r="D362" s="96" t="s">
        <v>136</v>
      </c>
      <c r="E362" s="96">
        <v>7600</v>
      </c>
      <c r="F362" s="101">
        <v>87.1</v>
      </c>
      <c r="G362" s="103">
        <f>Table336789101112131415[[#This Row],[Sched C/ County/ State]]+0.3</f>
        <v>87.4</v>
      </c>
      <c r="H362" s="106"/>
      <c r="I362" s="101">
        <v>81.510000000000005</v>
      </c>
      <c r="J362" s="99">
        <f>Table336789101112131415[[#This Row],[Sched C/ County/ State]]-Table336789101112131415[[#This Row],[2025 Rate]]</f>
        <v>5.59</v>
      </c>
    </row>
    <row r="363" spans="1:10" ht="30" x14ac:dyDescent="0.2">
      <c r="A363" s="93" t="s">
        <v>303</v>
      </c>
      <c r="B363" s="94" t="s">
        <v>302</v>
      </c>
      <c r="C363" s="95">
        <v>2017</v>
      </c>
      <c r="D363" s="96" t="s">
        <v>136</v>
      </c>
      <c r="E363" s="96">
        <v>7600</v>
      </c>
      <c r="F363" s="101">
        <v>87.1</v>
      </c>
      <c r="G363" s="103">
        <f>Table336789101112131415[[#This Row],[Sched C/ County/ State]]+0.3</f>
        <v>87.4</v>
      </c>
      <c r="H363" s="106"/>
      <c r="I363" s="101">
        <v>81.510000000000005</v>
      </c>
      <c r="J363" s="99">
        <f>Table336789101112131415[[#This Row],[Sched C/ County/ State]]-Table336789101112131415[[#This Row],[2025 Rate]]</f>
        <v>5.59</v>
      </c>
    </row>
    <row r="364" spans="1:10" x14ac:dyDescent="0.2">
      <c r="A364" s="93">
        <v>1302</v>
      </c>
      <c r="B364" s="94" t="s">
        <v>304</v>
      </c>
      <c r="C364" s="95">
        <v>2019</v>
      </c>
      <c r="D364" s="96" t="s">
        <v>289</v>
      </c>
      <c r="E364" s="96" t="s">
        <v>305</v>
      </c>
      <c r="F364" s="101">
        <v>87.1</v>
      </c>
      <c r="G364" s="103">
        <f>Table336789101112131415[[#This Row],[Sched C/ County/ State]]+0.3</f>
        <v>87.4</v>
      </c>
      <c r="H364" s="104"/>
      <c r="I364" s="101">
        <v>81.510000000000005</v>
      </c>
      <c r="J364" s="99">
        <f>Table336789101112131415[[#This Row],[Sched C/ County/ State]]-Table336789101112131415[[#This Row],[2025 Rate]]</f>
        <v>5.59</v>
      </c>
    </row>
    <row r="365" spans="1:10" x14ac:dyDescent="0.2">
      <c r="A365" s="93">
        <v>1303</v>
      </c>
      <c r="B365" s="94" t="s">
        <v>304</v>
      </c>
      <c r="C365" s="95">
        <v>2019</v>
      </c>
      <c r="D365" s="96" t="s">
        <v>289</v>
      </c>
      <c r="E365" s="96" t="s">
        <v>305</v>
      </c>
      <c r="F365" s="101">
        <v>87.1</v>
      </c>
      <c r="G365" s="103">
        <f>Table336789101112131415[[#This Row],[Sched C/ County/ State]]+0.3</f>
        <v>87.4</v>
      </c>
      <c r="H365" s="104"/>
      <c r="I365" s="101">
        <v>81.510000000000005</v>
      </c>
      <c r="J365" s="99">
        <f>Table336789101112131415[[#This Row],[Sched C/ County/ State]]-Table336789101112131415[[#This Row],[2025 Rate]]</f>
        <v>5.59</v>
      </c>
    </row>
    <row r="366" spans="1:10" x14ac:dyDescent="0.2">
      <c r="A366" s="93">
        <v>1304</v>
      </c>
      <c r="B366" s="94" t="s">
        <v>304</v>
      </c>
      <c r="C366" s="95">
        <v>2020</v>
      </c>
      <c r="D366" s="96" t="s">
        <v>289</v>
      </c>
      <c r="E366" s="96" t="s">
        <v>305</v>
      </c>
      <c r="F366" s="101">
        <v>87.1</v>
      </c>
      <c r="G366" s="103">
        <f>Table336789101112131415[[#This Row],[Sched C/ County/ State]]+0.3</f>
        <v>87.4</v>
      </c>
      <c r="H366" s="104"/>
      <c r="I366" s="101">
        <v>81.510000000000005</v>
      </c>
      <c r="J366" s="99">
        <f>Table336789101112131415[[#This Row],[Sched C/ County/ State]]-Table336789101112131415[[#This Row],[2025 Rate]]</f>
        <v>5.59</v>
      </c>
    </row>
    <row r="367" spans="1:10" x14ac:dyDescent="0.2">
      <c r="A367" s="93">
        <v>1307</v>
      </c>
      <c r="B367" s="94" t="s">
        <v>304</v>
      </c>
      <c r="C367" s="95">
        <v>2020</v>
      </c>
      <c r="D367" s="96" t="s">
        <v>289</v>
      </c>
      <c r="E367" s="96" t="s">
        <v>305</v>
      </c>
      <c r="F367" s="101">
        <v>87.1</v>
      </c>
      <c r="G367" s="103">
        <f>Table336789101112131415[[#This Row],[Sched C/ County/ State]]+0.3</f>
        <v>87.4</v>
      </c>
      <c r="H367" s="104"/>
      <c r="I367" s="101">
        <v>81.510000000000005</v>
      </c>
      <c r="J367" s="99">
        <f>Table336789101112131415[[#This Row],[Sched C/ County/ State]]-Table336789101112131415[[#This Row],[2025 Rate]]</f>
        <v>5.59</v>
      </c>
    </row>
    <row r="368" spans="1:10" x14ac:dyDescent="0.2">
      <c r="A368" s="93">
        <v>1308</v>
      </c>
      <c r="B368" s="94" t="s">
        <v>304</v>
      </c>
      <c r="C368" s="95">
        <v>2020</v>
      </c>
      <c r="D368" s="96" t="s">
        <v>289</v>
      </c>
      <c r="E368" s="96" t="s">
        <v>305</v>
      </c>
      <c r="F368" s="101">
        <v>87.1</v>
      </c>
      <c r="G368" s="103">
        <f>Table336789101112131415[[#This Row],[Sched C/ County/ State]]+0.3</f>
        <v>87.4</v>
      </c>
      <c r="H368" s="104"/>
      <c r="I368" s="101">
        <v>81.510000000000005</v>
      </c>
      <c r="J368" s="99">
        <f>Table336789101112131415[[#This Row],[Sched C/ County/ State]]-Table336789101112131415[[#This Row],[2025 Rate]]</f>
        <v>5.59</v>
      </c>
    </row>
    <row r="369" spans="1:10" x14ac:dyDescent="0.2">
      <c r="A369" s="93">
        <v>1309</v>
      </c>
      <c r="B369" s="94" t="s">
        <v>304</v>
      </c>
      <c r="C369" s="95">
        <v>2020</v>
      </c>
      <c r="D369" s="96" t="s">
        <v>289</v>
      </c>
      <c r="E369" s="96">
        <v>4900</v>
      </c>
      <c r="F369" s="101">
        <v>87.1</v>
      </c>
      <c r="G369" s="103">
        <f>Table336789101112131415[[#This Row],[Sched C/ County/ State]]+0.3</f>
        <v>87.4</v>
      </c>
      <c r="H369" s="104"/>
      <c r="I369" s="101">
        <v>81.510000000000005</v>
      </c>
      <c r="J369" s="99">
        <f>Table336789101112131415[[#This Row],[Sched C/ County/ State]]-Table336789101112131415[[#This Row],[2025 Rate]]</f>
        <v>5.59</v>
      </c>
    </row>
    <row r="370" spans="1:10" ht="30" x14ac:dyDescent="0.2">
      <c r="A370" s="93">
        <v>1312</v>
      </c>
      <c r="B370" s="94" t="s">
        <v>306</v>
      </c>
      <c r="C370" s="95">
        <v>2021</v>
      </c>
      <c r="D370" s="96" t="s">
        <v>289</v>
      </c>
      <c r="E370" s="96">
        <v>4900</v>
      </c>
      <c r="F370" s="101">
        <v>87.1</v>
      </c>
      <c r="G370" s="103">
        <f>Table336789101112131415[[#This Row],[Sched C/ County/ State]]+0.3</f>
        <v>87.4</v>
      </c>
      <c r="H370" s="104"/>
      <c r="I370" s="101">
        <v>81.510000000000005</v>
      </c>
      <c r="J370" s="99">
        <f>Table336789101112131415[[#This Row],[Sched C/ County/ State]]-Table336789101112131415[[#This Row],[2025 Rate]]</f>
        <v>5.59</v>
      </c>
    </row>
    <row r="371" spans="1:10" x14ac:dyDescent="0.2">
      <c r="A371" s="93">
        <v>1316</v>
      </c>
      <c r="B371" s="94" t="s">
        <v>304</v>
      </c>
      <c r="C371" s="95">
        <v>2021</v>
      </c>
      <c r="D371" s="96" t="s">
        <v>289</v>
      </c>
      <c r="E371" s="96" t="s">
        <v>305</v>
      </c>
      <c r="F371" s="101">
        <v>87.1</v>
      </c>
      <c r="G371" s="103">
        <f>Table336789101112131415[[#This Row],[Sched C/ County/ State]]+0.3</f>
        <v>87.4</v>
      </c>
      <c r="H371" s="104"/>
      <c r="I371" s="101">
        <v>81.510000000000005</v>
      </c>
      <c r="J371" s="99">
        <f>Table336789101112131415[[#This Row],[Sched C/ County/ State]]-Table336789101112131415[[#This Row],[2025 Rate]]</f>
        <v>5.59</v>
      </c>
    </row>
    <row r="372" spans="1:10" ht="30" x14ac:dyDescent="0.2">
      <c r="A372" s="93">
        <v>1317</v>
      </c>
      <c r="B372" s="94" t="s">
        <v>306</v>
      </c>
      <c r="C372" s="95">
        <v>2021</v>
      </c>
      <c r="D372" s="96" t="s">
        <v>289</v>
      </c>
      <c r="E372" s="96">
        <v>4900</v>
      </c>
      <c r="F372" s="101">
        <v>87.1</v>
      </c>
      <c r="G372" s="103">
        <f>Table336789101112131415[[#This Row],[Sched C/ County/ State]]+0.3</f>
        <v>87.4</v>
      </c>
      <c r="H372" s="104"/>
      <c r="I372" s="101">
        <v>81.510000000000005</v>
      </c>
      <c r="J372" s="99">
        <f>Table336789101112131415[[#This Row],[Sched C/ County/ State]]-Table336789101112131415[[#This Row],[2025 Rate]]</f>
        <v>5.59</v>
      </c>
    </row>
    <row r="373" spans="1:10" ht="30" x14ac:dyDescent="0.2">
      <c r="A373" s="93">
        <v>1319</v>
      </c>
      <c r="B373" s="94" t="s">
        <v>306</v>
      </c>
      <c r="C373" s="95">
        <v>2021</v>
      </c>
      <c r="D373" s="96" t="s">
        <v>289</v>
      </c>
      <c r="E373" s="96">
        <v>4900</v>
      </c>
      <c r="F373" s="101">
        <v>87.1</v>
      </c>
      <c r="G373" s="103">
        <f>Table336789101112131415[[#This Row],[Sched C/ County/ State]]+0.3</f>
        <v>87.4</v>
      </c>
      <c r="H373" s="104"/>
      <c r="I373" s="101">
        <v>81.510000000000005</v>
      </c>
      <c r="J373" s="99">
        <f>Table336789101112131415[[#This Row],[Sched C/ County/ State]]-Table336789101112131415[[#This Row],[2025 Rate]]</f>
        <v>5.59</v>
      </c>
    </row>
    <row r="374" spans="1:10" x14ac:dyDescent="0.2">
      <c r="A374" s="93">
        <v>1321</v>
      </c>
      <c r="B374" s="94" t="s">
        <v>304</v>
      </c>
      <c r="C374" s="95">
        <v>2021</v>
      </c>
      <c r="D374" s="96" t="s">
        <v>289</v>
      </c>
      <c r="E374" s="96" t="s">
        <v>305</v>
      </c>
      <c r="F374" s="101">
        <v>87.1</v>
      </c>
      <c r="G374" s="103">
        <f>Table336789101112131415[[#This Row],[Sched C/ County/ State]]+0.3</f>
        <v>87.4</v>
      </c>
      <c r="H374" s="104"/>
      <c r="I374" s="101">
        <v>81.510000000000005</v>
      </c>
      <c r="J374" s="99">
        <f>Table336789101112131415[[#This Row],[Sched C/ County/ State]]-Table336789101112131415[[#This Row],[2025 Rate]]</f>
        <v>5.59</v>
      </c>
    </row>
    <row r="375" spans="1:10" x14ac:dyDescent="0.2">
      <c r="A375" s="93">
        <v>1322</v>
      </c>
      <c r="B375" s="94" t="s">
        <v>304</v>
      </c>
      <c r="C375" s="95">
        <v>2021</v>
      </c>
      <c r="D375" s="96" t="s">
        <v>289</v>
      </c>
      <c r="E375" s="96" t="s">
        <v>305</v>
      </c>
      <c r="F375" s="101">
        <v>87.1</v>
      </c>
      <c r="G375" s="103">
        <f>Table336789101112131415[[#This Row],[Sched C/ County/ State]]+0.3</f>
        <v>87.4</v>
      </c>
      <c r="H375" s="104"/>
      <c r="I375" s="101">
        <v>81.510000000000005</v>
      </c>
      <c r="J375" s="99">
        <f>Table336789101112131415[[#This Row],[Sched C/ County/ State]]-Table336789101112131415[[#This Row],[2025 Rate]]</f>
        <v>5.59</v>
      </c>
    </row>
    <row r="376" spans="1:10" x14ac:dyDescent="0.2">
      <c r="A376" s="93">
        <v>1323</v>
      </c>
      <c r="B376" s="94" t="s">
        <v>304</v>
      </c>
      <c r="C376" s="95">
        <v>2021</v>
      </c>
      <c r="D376" s="96" t="s">
        <v>289</v>
      </c>
      <c r="E376" s="96" t="s">
        <v>305</v>
      </c>
      <c r="F376" s="101">
        <v>87.1</v>
      </c>
      <c r="G376" s="103">
        <f>Table336789101112131415[[#This Row],[Sched C/ County/ State]]+0.3</f>
        <v>87.4</v>
      </c>
      <c r="H376" s="104"/>
      <c r="I376" s="101">
        <v>81.510000000000005</v>
      </c>
      <c r="J376" s="99">
        <f>Table336789101112131415[[#This Row],[Sched C/ County/ State]]-Table336789101112131415[[#This Row],[2025 Rate]]</f>
        <v>5.59</v>
      </c>
    </row>
    <row r="377" spans="1:10" ht="30" x14ac:dyDescent="0.2">
      <c r="A377" s="93">
        <v>1325</v>
      </c>
      <c r="B377" s="94" t="s">
        <v>306</v>
      </c>
      <c r="C377" s="95">
        <v>2021</v>
      </c>
      <c r="D377" s="96" t="s">
        <v>289</v>
      </c>
      <c r="E377" s="96">
        <v>4900</v>
      </c>
      <c r="F377" s="101">
        <v>87.1</v>
      </c>
      <c r="G377" s="103">
        <f>Table336789101112131415[[#This Row],[Sched C/ County/ State]]+0.3</f>
        <v>87.4</v>
      </c>
      <c r="H377" s="104"/>
      <c r="I377" s="101">
        <v>81.510000000000005</v>
      </c>
      <c r="J377" s="99">
        <f>Table336789101112131415[[#This Row],[Sched C/ County/ State]]-Table336789101112131415[[#This Row],[2025 Rate]]</f>
        <v>5.59</v>
      </c>
    </row>
    <row r="378" spans="1:10" ht="30" x14ac:dyDescent="0.2">
      <c r="A378" s="93">
        <v>1326</v>
      </c>
      <c r="B378" s="94" t="s">
        <v>306</v>
      </c>
      <c r="C378" s="95">
        <v>2021</v>
      </c>
      <c r="D378" s="96" t="s">
        <v>289</v>
      </c>
      <c r="E378" s="96">
        <v>4900</v>
      </c>
      <c r="F378" s="101">
        <v>87.1</v>
      </c>
      <c r="G378" s="103">
        <f>Table336789101112131415[[#This Row],[Sched C/ County/ State]]+0.3</f>
        <v>87.4</v>
      </c>
      <c r="H378" s="104"/>
      <c r="I378" s="101">
        <v>81.510000000000005</v>
      </c>
      <c r="J378" s="99">
        <f>Table336789101112131415[[#This Row],[Sched C/ County/ State]]-Table336789101112131415[[#This Row],[2025 Rate]]</f>
        <v>5.59</v>
      </c>
    </row>
    <row r="379" spans="1:10" ht="30" x14ac:dyDescent="0.2">
      <c r="A379" s="93">
        <v>1327</v>
      </c>
      <c r="B379" s="94" t="s">
        <v>306</v>
      </c>
      <c r="C379" s="95">
        <v>2021</v>
      </c>
      <c r="D379" s="96" t="s">
        <v>289</v>
      </c>
      <c r="E379" s="96">
        <v>4900</v>
      </c>
      <c r="F379" s="101">
        <v>87.1</v>
      </c>
      <c r="G379" s="103">
        <f>Table336789101112131415[[#This Row],[Sched C/ County/ State]]+0.3</f>
        <v>87.4</v>
      </c>
      <c r="H379" s="104"/>
      <c r="I379" s="101">
        <v>81.510000000000005</v>
      </c>
      <c r="J379" s="99">
        <f>Table336789101112131415[[#This Row],[Sched C/ County/ State]]-Table336789101112131415[[#This Row],[2025 Rate]]</f>
        <v>5.59</v>
      </c>
    </row>
    <row r="380" spans="1:10" ht="30" x14ac:dyDescent="0.2">
      <c r="A380" s="93">
        <v>1329</v>
      </c>
      <c r="B380" s="94" t="s">
        <v>306</v>
      </c>
      <c r="C380" s="95">
        <v>2021</v>
      </c>
      <c r="D380" s="96" t="s">
        <v>289</v>
      </c>
      <c r="E380" s="96">
        <v>4900</v>
      </c>
      <c r="F380" s="101">
        <v>87.1</v>
      </c>
      <c r="G380" s="103">
        <f>Table336789101112131415[[#This Row],[Sched C/ County/ State]]+0.3</f>
        <v>87.4</v>
      </c>
      <c r="H380" s="104"/>
      <c r="I380" s="101">
        <v>81.510000000000005</v>
      </c>
      <c r="J380" s="99">
        <f>Table336789101112131415[[#This Row],[Sched C/ County/ State]]-Table336789101112131415[[#This Row],[2025 Rate]]</f>
        <v>5.59</v>
      </c>
    </row>
    <row r="381" spans="1:10" ht="30" x14ac:dyDescent="0.2">
      <c r="A381" s="93">
        <v>1332</v>
      </c>
      <c r="B381" s="94" t="s">
        <v>307</v>
      </c>
      <c r="C381" s="95">
        <v>2023</v>
      </c>
      <c r="D381" s="96" t="s">
        <v>289</v>
      </c>
      <c r="E381" s="96" t="s">
        <v>308</v>
      </c>
      <c r="F381" s="101">
        <v>87.1</v>
      </c>
      <c r="G381" s="103">
        <f>Table336789101112131415[[#This Row],[Sched C/ County/ State]]+0.3</f>
        <v>87.4</v>
      </c>
      <c r="H381" s="104"/>
      <c r="I381" s="101">
        <v>81.510000000000005</v>
      </c>
      <c r="J381" s="99">
        <f>Table336789101112131415[[#This Row],[Sched C/ County/ State]]-Table336789101112131415[[#This Row],[2025 Rate]]</f>
        <v>5.59</v>
      </c>
    </row>
    <row r="382" spans="1:10" ht="30" x14ac:dyDescent="0.2">
      <c r="A382" s="93">
        <v>1338</v>
      </c>
      <c r="B382" s="94" t="s">
        <v>309</v>
      </c>
      <c r="C382" s="95">
        <v>2023</v>
      </c>
      <c r="D382" s="96" t="s">
        <v>289</v>
      </c>
      <c r="E382" s="96" t="s">
        <v>308</v>
      </c>
      <c r="F382" s="101">
        <v>87.1</v>
      </c>
      <c r="G382" s="103">
        <f>Table336789101112131415[[#This Row],[Sched C/ County/ State]]+0.3</f>
        <v>87.4</v>
      </c>
      <c r="H382" s="104"/>
      <c r="I382" s="101">
        <v>81.510000000000005</v>
      </c>
      <c r="J382" s="99">
        <f>Table336789101112131415[[#This Row],[Sched C/ County/ State]]-Table336789101112131415[[#This Row],[2025 Rate]]</f>
        <v>5.59</v>
      </c>
    </row>
    <row r="383" spans="1:10" ht="30" x14ac:dyDescent="0.2">
      <c r="A383" s="93">
        <v>1339</v>
      </c>
      <c r="B383" s="94" t="s">
        <v>307</v>
      </c>
      <c r="C383" s="95">
        <v>2023</v>
      </c>
      <c r="D383" s="96" t="s">
        <v>289</v>
      </c>
      <c r="E383" s="96" t="s">
        <v>308</v>
      </c>
      <c r="F383" s="101">
        <v>87.1</v>
      </c>
      <c r="G383" s="103">
        <f>Table336789101112131415[[#This Row],[Sched C/ County/ State]]+0.3</f>
        <v>87.4</v>
      </c>
      <c r="H383" s="104"/>
      <c r="I383" s="101">
        <v>81.510000000000005</v>
      </c>
      <c r="J383" s="99">
        <f>Table336789101112131415[[#This Row],[Sched C/ County/ State]]-Table336789101112131415[[#This Row],[2025 Rate]]</f>
        <v>5.59</v>
      </c>
    </row>
    <row r="384" spans="1:10" ht="30" x14ac:dyDescent="0.2">
      <c r="A384" s="93">
        <v>1340</v>
      </c>
      <c r="B384" s="94" t="s">
        <v>307</v>
      </c>
      <c r="C384" s="95">
        <v>2023</v>
      </c>
      <c r="D384" s="96" t="s">
        <v>289</v>
      </c>
      <c r="E384" s="96" t="s">
        <v>308</v>
      </c>
      <c r="F384" s="101">
        <v>87.1</v>
      </c>
      <c r="G384" s="103">
        <f>Table336789101112131415[[#This Row],[Sched C/ County/ State]]+0.3</f>
        <v>87.4</v>
      </c>
      <c r="H384" s="104"/>
      <c r="I384" s="101">
        <v>81.510000000000005</v>
      </c>
      <c r="J384" s="99">
        <f>Table336789101112131415[[#This Row],[Sched C/ County/ State]]-Table336789101112131415[[#This Row],[2025 Rate]]</f>
        <v>5.59</v>
      </c>
    </row>
    <row r="385" spans="1:10" ht="30" x14ac:dyDescent="0.2">
      <c r="A385" s="93">
        <v>1357</v>
      </c>
      <c r="B385" s="94" t="s">
        <v>307</v>
      </c>
      <c r="C385" s="95">
        <v>2023</v>
      </c>
      <c r="D385" s="96" t="s">
        <v>289</v>
      </c>
      <c r="E385" s="96" t="s">
        <v>308</v>
      </c>
      <c r="F385" s="101">
        <v>87.1</v>
      </c>
      <c r="G385" s="103">
        <f>Table336789101112131415[[#This Row],[Sched C/ County/ State]]+0.3</f>
        <v>87.4</v>
      </c>
      <c r="H385" s="104"/>
      <c r="I385" s="101">
        <v>81.510000000000005</v>
      </c>
      <c r="J385" s="99">
        <f>Table336789101112131415[[#This Row],[Sched C/ County/ State]]-Table336789101112131415[[#This Row],[2025 Rate]]</f>
        <v>5.59</v>
      </c>
    </row>
    <row r="386" spans="1:10" ht="30" x14ac:dyDescent="0.2">
      <c r="A386" s="93">
        <v>1358</v>
      </c>
      <c r="B386" s="94" t="s">
        <v>307</v>
      </c>
      <c r="C386" s="95">
        <v>2023</v>
      </c>
      <c r="D386" s="96" t="s">
        <v>289</v>
      </c>
      <c r="E386" s="96" t="s">
        <v>308</v>
      </c>
      <c r="F386" s="101">
        <v>87.1</v>
      </c>
      <c r="G386" s="103">
        <f>Table336789101112131415[[#This Row],[Sched C/ County/ State]]+0.3</f>
        <v>87.4</v>
      </c>
      <c r="H386" s="104"/>
      <c r="I386" s="101">
        <v>81.510000000000005</v>
      </c>
      <c r="J386" s="99">
        <f>Table336789101112131415[[#This Row],[Sched C/ County/ State]]-Table336789101112131415[[#This Row],[2025 Rate]]</f>
        <v>5.59</v>
      </c>
    </row>
    <row r="387" spans="1:10" ht="30" x14ac:dyDescent="0.2">
      <c r="A387" s="93">
        <v>1359</v>
      </c>
      <c r="B387" s="94" t="s">
        <v>307</v>
      </c>
      <c r="C387" s="95">
        <v>2023</v>
      </c>
      <c r="D387" s="96" t="s">
        <v>289</v>
      </c>
      <c r="E387" s="96" t="s">
        <v>308</v>
      </c>
      <c r="F387" s="101">
        <v>87.1</v>
      </c>
      <c r="G387" s="103">
        <f>Table336789101112131415[[#This Row],[Sched C/ County/ State]]+0.3</f>
        <v>87.4</v>
      </c>
      <c r="H387" s="104"/>
      <c r="I387" s="101">
        <v>81.510000000000005</v>
      </c>
      <c r="J387" s="99">
        <f>Table336789101112131415[[#This Row],[Sched C/ County/ State]]-Table336789101112131415[[#This Row],[2025 Rate]]</f>
        <v>5.59</v>
      </c>
    </row>
    <row r="388" spans="1:10" ht="30" x14ac:dyDescent="0.2">
      <c r="A388" s="93">
        <v>1361</v>
      </c>
      <c r="B388" s="94" t="s">
        <v>307</v>
      </c>
      <c r="C388" s="95">
        <v>2024</v>
      </c>
      <c r="D388" s="96" t="s">
        <v>289</v>
      </c>
      <c r="E388" s="96" t="s">
        <v>308</v>
      </c>
      <c r="F388" s="101">
        <v>87.1</v>
      </c>
      <c r="G388" s="103">
        <f>Table336789101112131415[[#This Row],[Sched C/ County/ State]]+0.3</f>
        <v>87.4</v>
      </c>
      <c r="H388" s="104"/>
      <c r="I388" s="101">
        <v>81.510000000000005</v>
      </c>
      <c r="J388" s="99">
        <f>Table336789101112131415[[#This Row],[Sched C/ County/ State]]-Table336789101112131415[[#This Row],[2025 Rate]]</f>
        <v>5.59</v>
      </c>
    </row>
    <row r="389" spans="1:10" ht="30" x14ac:dyDescent="0.2">
      <c r="A389" s="93">
        <v>1381</v>
      </c>
      <c r="B389" s="94" t="s">
        <v>307</v>
      </c>
      <c r="C389" s="95">
        <v>2024</v>
      </c>
      <c r="D389" s="96" t="s">
        <v>289</v>
      </c>
      <c r="E389" s="96" t="s">
        <v>308</v>
      </c>
      <c r="F389" s="101">
        <v>87.1</v>
      </c>
      <c r="G389" s="103">
        <f>Table336789101112131415[[#This Row],[Sched C/ County/ State]]+0.3</f>
        <v>87.4</v>
      </c>
      <c r="H389" s="104"/>
      <c r="I389" s="101">
        <v>81.510000000000005</v>
      </c>
      <c r="J389" s="99">
        <f>Table336789101112131415[[#This Row],[Sched C/ County/ State]]-Table336789101112131415[[#This Row],[2025 Rate]]</f>
        <v>5.59</v>
      </c>
    </row>
    <row r="390" spans="1:10" ht="30" x14ac:dyDescent="0.2">
      <c r="A390" s="93">
        <v>1382</v>
      </c>
      <c r="B390" s="94" t="s">
        <v>307</v>
      </c>
      <c r="C390" s="95">
        <v>2024</v>
      </c>
      <c r="D390" s="96" t="s">
        <v>289</v>
      </c>
      <c r="E390" s="96" t="s">
        <v>308</v>
      </c>
      <c r="F390" s="101">
        <v>87.1</v>
      </c>
      <c r="G390" s="103">
        <f>Table336789101112131415[[#This Row],[Sched C/ County/ State]]+0.3</f>
        <v>87.4</v>
      </c>
      <c r="H390" s="104"/>
      <c r="I390" s="101">
        <v>81.510000000000005</v>
      </c>
      <c r="J390" s="99">
        <f>Table336789101112131415[[#This Row],[Sched C/ County/ State]]-Table336789101112131415[[#This Row],[2025 Rate]]</f>
        <v>5.59</v>
      </c>
    </row>
    <row r="391" spans="1:10" x14ac:dyDescent="0.2">
      <c r="A391" s="93">
        <v>1400</v>
      </c>
      <c r="B391" s="94" t="s">
        <v>310</v>
      </c>
      <c r="C391" s="95">
        <v>2017</v>
      </c>
      <c r="D391" s="96" t="s">
        <v>311</v>
      </c>
      <c r="E391" s="96" t="s">
        <v>312</v>
      </c>
      <c r="F391" s="101">
        <v>3.24</v>
      </c>
      <c r="G391" s="105"/>
      <c r="H391" s="106"/>
      <c r="I391" s="101">
        <v>3.01</v>
      </c>
      <c r="J391" s="99">
        <f>Table336789101112131415[[#This Row],[Sched C/ County/ State]]-Table336789101112131415[[#This Row],[2025 Rate]]</f>
        <v>0.23</v>
      </c>
    </row>
    <row r="392" spans="1:10" x14ac:dyDescent="0.2">
      <c r="A392" s="93">
        <v>1401</v>
      </c>
      <c r="B392" s="94" t="s">
        <v>310</v>
      </c>
      <c r="C392" s="95">
        <v>2017</v>
      </c>
      <c r="D392" s="96" t="s">
        <v>311</v>
      </c>
      <c r="E392" s="96" t="s">
        <v>312</v>
      </c>
      <c r="F392" s="101">
        <v>3.24</v>
      </c>
      <c r="G392" s="105"/>
      <c r="H392" s="106"/>
      <c r="I392" s="101">
        <v>3.01</v>
      </c>
      <c r="J392" s="99">
        <f>Table336789101112131415[[#This Row],[Sched C/ County/ State]]-Table336789101112131415[[#This Row],[2025 Rate]]</f>
        <v>0.23</v>
      </c>
    </row>
    <row r="393" spans="1:10" x14ac:dyDescent="0.2">
      <c r="A393" s="93">
        <v>1402</v>
      </c>
      <c r="B393" s="94" t="s">
        <v>313</v>
      </c>
      <c r="C393" s="95">
        <v>2017</v>
      </c>
      <c r="D393" s="96" t="s">
        <v>311</v>
      </c>
      <c r="F393" s="101">
        <v>3.24</v>
      </c>
      <c r="G393" s="105"/>
      <c r="H393" s="106"/>
      <c r="I393" s="101">
        <v>3.01</v>
      </c>
      <c r="J393" s="99">
        <f>Table336789101112131415[[#This Row],[Sched C/ County/ State]]-Table336789101112131415[[#This Row],[2025 Rate]]</f>
        <v>0.23</v>
      </c>
    </row>
    <row r="394" spans="1:10" x14ac:dyDescent="0.2">
      <c r="A394" s="93">
        <v>1403</v>
      </c>
      <c r="B394" s="94" t="s">
        <v>313</v>
      </c>
      <c r="C394" s="95">
        <v>2017</v>
      </c>
      <c r="D394" s="96" t="s">
        <v>311</v>
      </c>
      <c r="F394" s="101">
        <v>3.24</v>
      </c>
      <c r="G394" s="105"/>
      <c r="H394" s="106"/>
      <c r="I394" s="101">
        <v>3.01</v>
      </c>
      <c r="J394" s="99">
        <f>Table336789101112131415[[#This Row],[Sched C/ County/ State]]-Table336789101112131415[[#This Row],[2025 Rate]]</f>
        <v>0.23</v>
      </c>
    </row>
    <row r="395" spans="1:10" x14ac:dyDescent="0.2">
      <c r="A395" s="93">
        <v>1404</v>
      </c>
      <c r="B395" s="94" t="s">
        <v>310</v>
      </c>
      <c r="C395" s="95">
        <v>2018</v>
      </c>
      <c r="D395" s="96" t="s">
        <v>314</v>
      </c>
      <c r="F395" s="101">
        <v>3.24</v>
      </c>
      <c r="G395" s="103"/>
      <c r="H395" s="104"/>
      <c r="I395" s="101">
        <v>3.01</v>
      </c>
      <c r="J395" s="99">
        <f>Table336789101112131415[[#This Row],[Sched C/ County/ State]]-Table336789101112131415[[#This Row],[2025 Rate]]</f>
        <v>0.23</v>
      </c>
    </row>
    <row r="396" spans="1:10" x14ac:dyDescent="0.2">
      <c r="A396" s="93">
        <v>1405</v>
      </c>
      <c r="B396" s="94" t="s">
        <v>94</v>
      </c>
      <c r="C396" s="95">
        <v>2018</v>
      </c>
      <c r="D396" s="96" t="s">
        <v>311</v>
      </c>
      <c r="E396" s="96" t="s">
        <v>312</v>
      </c>
      <c r="F396" s="101">
        <v>5.55</v>
      </c>
      <c r="G396" s="103"/>
      <c r="H396" s="104"/>
      <c r="I396" s="101">
        <v>5.15</v>
      </c>
      <c r="J396" s="99">
        <f>Table336789101112131415[[#This Row],[Sched C/ County/ State]]-Table336789101112131415[[#This Row],[2025 Rate]]</f>
        <v>0.4</v>
      </c>
    </row>
    <row r="397" spans="1:10" x14ac:dyDescent="0.2">
      <c r="A397" s="93">
        <v>1406</v>
      </c>
      <c r="B397" s="94" t="s">
        <v>315</v>
      </c>
      <c r="C397" s="95">
        <v>2019</v>
      </c>
      <c r="D397" s="96" t="s">
        <v>295</v>
      </c>
      <c r="E397" s="96" t="s">
        <v>316</v>
      </c>
      <c r="F397" s="101">
        <v>87.1</v>
      </c>
      <c r="G397" s="103">
        <f>Table336789101112131415[[#This Row],[Sched C/ County/ State]]+0.3</f>
        <v>87.4</v>
      </c>
      <c r="H397" s="104"/>
      <c r="I397" s="101">
        <v>81.510000000000005</v>
      </c>
      <c r="J397" s="99">
        <f>Table336789101112131415[[#This Row],[Sched C/ County/ State]]-Table336789101112131415[[#This Row],[2025 Rate]]</f>
        <v>5.59</v>
      </c>
    </row>
    <row r="398" spans="1:10" x14ac:dyDescent="0.2">
      <c r="A398" s="93">
        <v>1407</v>
      </c>
      <c r="B398" s="94" t="s">
        <v>317</v>
      </c>
      <c r="C398" s="95"/>
      <c r="F398" s="101">
        <v>3.24</v>
      </c>
      <c r="G398" s="103"/>
      <c r="H398" s="104"/>
      <c r="I398" s="101">
        <v>3.01</v>
      </c>
      <c r="J398" s="99">
        <f>Table336789101112131415[[#This Row],[Sched C/ County/ State]]-Table336789101112131415[[#This Row],[2025 Rate]]</f>
        <v>0.23</v>
      </c>
    </row>
    <row r="399" spans="1:10" x14ac:dyDescent="0.2">
      <c r="A399" s="93">
        <v>1408</v>
      </c>
      <c r="B399" s="94" t="s">
        <v>317</v>
      </c>
      <c r="C399" s="95">
        <v>2019</v>
      </c>
      <c r="D399" s="96" t="s">
        <v>170</v>
      </c>
      <c r="E399" s="96" t="s">
        <v>318</v>
      </c>
      <c r="F399" s="101">
        <v>3.24</v>
      </c>
      <c r="G399" s="103"/>
      <c r="H399" s="104"/>
      <c r="I399" s="101">
        <v>3.01</v>
      </c>
      <c r="J399" s="99">
        <f>Table336789101112131415[[#This Row],[Sched C/ County/ State]]-Table336789101112131415[[#This Row],[2025 Rate]]</f>
        <v>0.23</v>
      </c>
    </row>
    <row r="400" spans="1:10" x14ac:dyDescent="0.2">
      <c r="A400" s="93">
        <v>1409</v>
      </c>
      <c r="B400" s="94" t="s">
        <v>317</v>
      </c>
      <c r="C400" s="95">
        <v>2019</v>
      </c>
      <c r="D400" s="96" t="s">
        <v>170</v>
      </c>
      <c r="E400" s="96" t="s">
        <v>318</v>
      </c>
      <c r="F400" s="101">
        <v>3.24</v>
      </c>
      <c r="G400" s="103"/>
      <c r="H400" s="104"/>
      <c r="I400" s="101">
        <v>3.01</v>
      </c>
      <c r="J400" s="99">
        <f>Table336789101112131415[[#This Row],[Sched C/ County/ State]]-Table336789101112131415[[#This Row],[2025 Rate]]</f>
        <v>0.23</v>
      </c>
    </row>
    <row r="401" spans="1:10" x14ac:dyDescent="0.2">
      <c r="A401" s="93" t="s">
        <v>319</v>
      </c>
      <c r="B401" s="94" t="s">
        <v>94</v>
      </c>
      <c r="C401" s="95">
        <v>2019</v>
      </c>
      <c r="D401" s="96" t="s">
        <v>311</v>
      </c>
      <c r="E401" s="96" t="s">
        <v>312</v>
      </c>
      <c r="F401" s="101">
        <v>5.55</v>
      </c>
      <c r="G401" s="103"/>
      <c r="H401" s="104"/>
      <c r="I401" s="101">
        <v>5.15</v>
      </c>
      <c r="J401" s="99">
        <f>Table336789101112131415[[#This Row],[Sched C/ County/ State]]-Table336789101112131415[[#This Row],[2025 Rate]]</f>
        <v>0.4</v>
      </c>
    </row>
    <row r="402" spans="1:10" x14ac:dyDescent="0.2">
      <c r="A402" s="93">
        <v>1411</v>
      </c>
      <c r="B402" s="94" t="s">
        <v>310</v>
      </c>
      <c r="C402" s="95">
        <v>2019</v>
      </c>
      <c r="D402" s="96" t="s">
        <v>170</v>
      </c>
      <c r="E402" s="96" t="s">
        <v>318</v>
      </c>
      <c r="F402" s="101">
        <v>3.24</v>
      </c>
      <c r="G402" s="103"/>
      <c r="H402" s="104"/>
      <c r="I402" s="101">
        <v>3.01</v>
      </c>
      <c r="J402" s="99">
        <f>Table336789101112131415[[#This Row],[Sched C/ County/ State]]-Table336789101112131415[[#This Row],[2025 Rate]]</f>
        <v>0.23</v>
      </c>
    </row>
    <row r="403" spans="1:10" ht="30" x14ac:dyDescent="0.2">
      <c r="A403" s="93">
        <v>1416</v>
      </c>
      <c r="B403" s="96" t="s">
        <v>320</v>
      </c>
      <c r="C403" s="95">
        <v>2007</v>
      </c>
      <c r="D403" s="96" t="s">
        <v>321</v>
      </c>
      <c r="E403" s="96" t="s">
        <v>322</v>
      </c>
      <c r="F403" s="101">
        <v>68.33</v>
      </c>
      <c r="G403" s="103">
        <f>Table336789101112131415[[#This Row],[Sched C/ County/ State]]+0.3</f>
        <v>68.63</v>
      </c>
      <c r="H403" s="104"/>
      <c r="I403" s="101">
        <v>63.45</v>
      </c>
      <c r="J403" s="99">
        <f>Table336789101112131415[[#This Row],[Sched C/ County/ State]]-Table336789101112131415[[#This Row],[2025 Rate]]</f>
        <v>4.88</v>
      </c>
    </row>
    <row r="404" spans="1:10" x14ac:dyDescent="0.2">
      <c r="A404" s="93">
        <v>1421</v>
      </c>
      <c r="B404" s="94" t="s">
        <v>94</v>
      </c>
      <c r="C404" s="95">
        <v>2020</v>
      </c>
      <c r="D404" s="96" t="s">
        <v>311</v>
      </c>
      <c r="E404" s="96" t="s">
        <v>312</v>
      </c>
      <c r="F404" s="101">
        <v>5.55</v>
      </c>
      <c r="G404" s="103"/>
      <c r="H404" s="104"/>
      <c r="I404" s="101">
        <v>5.15</v>
      </c>
      <c r="J404" s="99">
        <f>Table336789101112131415[[#This Row],[Sched C/ County/ State]]-Table336789101112131415[[#This Row],[2025 Rate]]</f>
        <v>0.4</v>
      </c>
    </row>
    <row r="405" spans="1:10" x14ac:dyDescent="0.2">
      <c r="A405" s="93">
        <v>1422</v>
      </c>
      <c r="B405" s="94" t="s">
        <v>94</v>
      </c>
      <c r="C405" s="95">
        <v>2020</v>
      </c>
      <c r="D405" s="96" t="s">
        <v>311</v>
      </c>
      <c r="E405" s="96" t="s">
        <v>312</v>
      </c>
      <c r="F405" s="101">
        <v>5.55</v>
      </c>
      <c r="G405" s="103"/>
      <c r="H405" s="104"/>
      <c r="I405" s="101">
        <v>5.15</v>
      </c>
      <c r="J405" s="99">
        <f>Table336789101112131415[[#This Row],[Sched C/ County/ State]]-Table336789101112131415[[#This Row],[2025 Rate]]</f>
        <v>0.4</v>
      </c>
    </row>
    <row r="406" spans="1:10" x14ac:dyDescent="0.2">
      <c r="A406" s="93">
        <v>1423</v>
      </c>
      <c r="B406" s="94" t="s">
        <v>94</v>
      </c>
      <c r="C406" s="95">
        <v>2020</v>
      </c>
      <c r="D406" s="96" t="s">
        <v>311</v>
      </c>
      <c r="E406" s="96" t="s">
        <v>312</v>
      </c>
      <c r="F406" s="101">
        <v>5.55</v>
      </c>
      <c r="G406" s="103"/>
      <c r="H406" s="104"/>
      <c r="I406" s="101">
        <v>5.15</v>
      </c>
      <c r="J406" s="99">
        <f>Table336789101112131415[[#This Row],[Sched C/ County/ State]]-Table336789101112131415[[#This Row],[2025 Rate]]</f>
        <v>0.4</v>
      </c>
    </row>
    <row r="407" spans="1:10" x14ac:dyDescent="0.2">
      <c r="A407" s="93">
        <v>1427</v>
      </c>
      <c r="B407" s="96" t="s">
        <v>323</v>
      </c>
      <c r="C407" s="95">
        <v>2014</v>
      </c>
      <c r="D407" s="96" t="s">
        <v>205</v>
      </c>
      <c r="E407" s="96" t="s">
        <v>324</v>
      </c>
      <c r="F407" s="101">
        <v>84.54</v>
      </c>
      <c r="G407" s="103">
        <f>Table336789101112131415[[#This Row],[Sched C/ County/ State]]+0.3</f>
        <v>84.84</v>
      </c>
      <c r="H407" s="104"/>
      <c r="I407" s="101">
        <v>79.11</v>
      </c>
      <c r="J407" s="99">
        <f>Table336789101112131415[[#This Row],[Sched C/ County/ State]]-Table336789101112131415[[#This Row],[2025 Rate]]</f>
        <v>5.43</v>
      </c>
    </row>
    <row r="408" spans="1:10" x14ac:dyDescent="0.2">
      <c r="A408" s="93">
        <v>1431</v>
      </c>
      <c r="B408" s="94" t="s">
        <v>317</v>
      </c>
      <c r="C408" s="95">
        <v>2020</v>
      </c>
      <c r="D408" s="96" t="s">
        <v>325</v>
      </c>
      <c r="E408" s="96" t="s">
        <v>318</v>
      </c>
      <c r="F408" s="101">
        <v>3.24</v>
      </c>
      <c r="G408" s="103"/>
      <c r="H408" s="104"/>
      <c r="I408" s="101">
        <v>3.01</v>
      </c>
      <c r="J408" s="99">
        <f>Table336789101112131415[[#This Row],[Sched C/ County/ State]]-Table336789101112131415[[#This Row],[2025 Rate]]</f>
        <v>0.23</v>
      </c>
    </row>
    <row r="409" spans="1:10" x14ac:dyDescent="0.2">
      <c r="A409" s="93">
        <v>1432</v>
      </c>
      <c r="B409" s="94" t="s">
        <v>317</v>
      </c>
      <c r="C409" s="95">
        <v>2020</v>
      </c>
      <c r="D409" s="96" t="s">
        <v>325</v>
      </c>
      <c r="E409" s="96" t="s">
        <v>318</v>
      </c>
      <c r="F409" s="101">
        <v>3.24</v>
      </c>
      <c r="G409" s="103"/>
      <c r="H409" s="104"/>
      <c r="I409" s="101">
        <v>3.01</v>
      </c>
      <c r="J409" s="99">
        <f>Table336789101112131415[[#This Row],[Sched C/ County/ State]]-Table336789101112131415[[#This Row],[2025 Rate]]</f>
        <v>0.23</v>
      </c>
    </row>
    <row r="410" spans="1:10" x14ac:dyDescent="0.2">
      <c r="A410" s="93">
        <v>1433</v>
      </c>
      <c r="B410" s="94" t="s">
        <v>317</v>
      </c>
      <c r="C410" s="95">
        <v>2020</v>
      </c>
      <c r="D410" s="96" t="s">
        <v>325</v>
      </c>
      <c r="E410" s="96" t="s">
        <v>318</v>
      </c>
      <c r="F410" s="101">
        <v>3.24</v>
      </c>
      <c r="G410" s="103"/>
      <c r="H410" s="104"/>
      <c r="I410" s="101">
        <v>3.01</v>
      </c>
      <c r="J410" s="99">
        <f>Table336789101112131415[[#This Row],[Sched C/ County/ State]]-Table336789101112131415[[#This Row],[2025 Rate]]</f>
        <v>0.23</v>
      </c>
    </row>
    <row r="411" spans="1:10" x14ac:dyDescent="0.2">
      <c r="A411" s="93">
        <v>1437</v>
      </c>
      <c r="B411" s="94" t="s">
        <v>326</v>
      </c>
      <c r="C411" s="95"/>
      <c r="F411" s="101">
        <v>5.55</v>
      </c>
      <c r="G411" s="103"/>
      <c r="H411" s="104"/>
      <c r="I411" s="101">
        <v>5.15</v>
      </c>
      <c r="J411" s="99">
        <f>Table336789101112131415[[#This Row],[Sched C/ County/ State]]-Table336789101112131415[[#This Row],[2025 Rate]]</f>
        <v>0.4</v>
      </c>
    </row>
    <row r="412" spans="1:10" x14ac:dyDescent="0.2">
      <c r="A412" s="93">
        <v>1438</v>
      </c>
      <c r="B412" s="94" t="s">
        <v>326</v>
      </c>
      <c r="C412" s="95">
        <v>2019</v>
      </c>
      <c r="D412" s="96" t="s">
        <v>311</v>
      </c>
      <c r="E412" s="96" t="s">
        <v>312</v>
      </c>
      <c r="F412" s="101">
        <v>5.55</v>
      </c>
      <c r="G412" s="103"/>
      <c r="H412" s="104"/>
      <c r="I412" s="101">
        <v>5.15</v>
      </c>
      <c r="J412" s="99">
        <f>Table336789101112131415[[#This Row],[Sched C/ County/ State]]-Table336789101112131415[[#This Row],[2025 Rate]]</f>
        <v>0.4</v>
      </c>
    </row>
    <row r="413" spans="1:10" x14ac:dyDescent="0.2">
      <c r="A413" s="93">
        <v>1439</v>
      </c>
      <c r="B413" s="94" t="s">
        <v>326</v>
      </c>
      <c r="C413" s="95">
        <v>2019</v>
      </c>
      <c r="D413" s="96" t="s">
        <v>311</v>
      </c>
      <c r="E413" s="96" t="s">
        <v>312</v>
      </c>
      <c r="F413" s="101">
        <v>5.55</v>
      </c>
      <c r="G413" s="103"/>
      <c r="H413" s="104"/>
      <c r="I413" s="101">
        <v>5.15</v>
      </c>
      <c r="J413" s="99">
        <f>Table336789101112131415[[#This Row],[Sched C/ County/ State]]-Table336789101112131415[[#This Row],[2025 Rate]]</f>
        <v>0.4</v>
      </c>
    </row>
    <row r="414" spans="1:10" x14ac:dyDescent="0.2">
      <c r="A414" s="93">
        <v>1503</v>
      </c>
      <c r="B414" s="96" t="s">
        <v>327</v>
      </c>
      <c r="C414" s="95">
        <v>1999</v>
      </c>
      <c r="D414" s="96" t="s">
        <v>328</v>
      </c>
      <c r="E414" s="96" t="s">
        <v>329</v>
      </c>
      <c r="F414" s="101">
        <v>15.94</v>
      </c>
      <c r="G414" s="103"/>
      <c r="H414" s="104"/>
      <c r="I414" s="101">
        <v>14.92</v>
      </c>
      <c r="J414" s="99">
        <f>Table336789101112131415[[#This Row],[Sched C/ County/ State]]-Table336789101112131415[[#This Row],[2025 Rate]]</f>
        <v>1.02</v>
      </c>
    </row>
    <row r="415" spans="1:10" ht="30" x14ac:dyDescent="0.2">
      <c r="A415" s="93">
        <v>1526</v>
      </c>
      <c r="B415" s="96" t="s">
        <v>330</v>
      </c>
      <c r="C415" s="95">
        <v>1993</v>
      </c>
      <c r="D415" s="96" t="s">
        <v>331</v>
      </c>
      <c r="E415" s="96" t="s">
        <v>332</v>
      </c>
      <c r="F415" s="101">
        <v>14.53</v>
      </c>
      <c r="G415" s="103"/>
      <c r="H415" s="104"/>
      <c r="I415" s="101">
        <v>13.48</v>
      </c>
      <c r="J415" s="99">
        <f>Table336789101112131415[[#This Row],[Sched C/ County/ State]]-Table336789101112131415[[#This Row],[2025 Rate]]</f>
        <v>1.05</v>
      </c>
    </row>
    <row r="416" spans="1:10" ht="30" x14ac:dyDescent="0.2">
      <c r="A416" s="93">
        <v>1529</v>
      </c>
      <c r="B416" s="96" t="s">
        <v>333</v>
      </c>
      <c r="C416" s="95">
        <v>1993</v>
      </c>
      <c r="D416" s="96" t="s">
        <v>334</v>
      </c>
      <c r="E416" s="96" t="s">
        <v>335</v>
      </c>
      <c r="F416" s="101">
        <v>16.989999999999998</v>
      </c>
      <c r="G416" s="103"/>
      <c r="H416" s="104"/>
      <c r="I416" s="101">
        <v>15.9</v>
      </c>
      <c r="J416" s="99">
        <f>Table336789101112131415[[#This Row],[Sched C/ County/ State]]-Table336789101112131415[[#This Row],[2025 Rate]]</f>
        <v>1.0900000000000001</v>
      </c>
    </row>
    <row r="417" spans="1:10" x14ac:dyDescent="0.2">
      <c r="A417" s="93">
        <v>1537</v>
      </c>
      <c r="B417" s="96" t="s">
        <v>336</v>
      </c>
      <c r="C417" s="95">
        <v>1949</v>
      </c>
      <c r="D417" s="96" t="s">
        <v>175</v>
      </c>
      <c r="E417" s="96" t="s">
        <v>337</v>
      </c>
      <c r="F417" s="101">
        <v>16.989999999999998</v>
      </c>
      <c r="G417" s="103"/>
      <c r="H417" s="104"/>
      <c r="I417" s="101">
        <v>15.9</v>
      </c>
      <c r="J417" s="99">
        <f>Table336789101112131415[[#This Row],[Sched C/ County/ State]]-Table336789101112131415[[#This Row],[2025 Rate]]</f>
        <v>1.0900000000000001</v>
      </c>
    </row>
    <row r="418" spans="1:10" ht="30" x14ac:dyDescent="0.2">
      <c r="A418" s="93">
        <v>1542</v>
      </c>
      <c r="B418" s="96" t="s">
        <v>338</v>
      </c>
      <c r="C418" s="95">
        <v>1989</v>
      </c>
      <c r="D418" s="96" t="s">
        <v>331</v>
      </c>
      <c r="E418" s="96" t="s">
        <v>339</v>
      </c>
      <c r="F418" s="101">
        <v>16.989999999999998</v>
      </c>
      <c r="G418" s="103"/>
      <c r="H418" s="104"/>
      <c r="I418" s="101">
        <v>15.9</v>
      </c>
      <c r="J418" s="99">
        <f>Table336789101112131415[[#This Row],[Sched C/ County/ State]]-Table336789101112131415[[#This Row],[2025 Rate]]</f>
        <v>1.0900000000000001</v>
      </c>
    </row>
    <row r="419" spans="1:10" ht="30" x14ac:dyDescent="0.2">
      <c r="A419" s="93">
        <v>1549</v>
      </c>
      <c r="B419" s="96" t="s">
        <v>336</v>
      </c>
      <c r="C419" s="95">
        <v>1988</v>
      </c>
      <c r="D419" s="96" t="s">
        <v>331</v>
      </c>
      <c r="E419" s="96" t="s">
        <v>339</v>
      </c>
      <c r="F419" s="101">
        <v>16.989999999999998</v>
      </c>
      <c r="G419" s="103"/>
      <c r="H419" s="104"/>
      <c r="I419" s="101">
        <v>15.9</v>
      </c>
      <c r="J419" s="99">
        <f>Table336789101112131415[[#This Row],[Sched C/ County/ State]]-Table336789101112131415[[#This Row],[2025 Rate]]</f>
        <v>1.0900000000000001</v>
      </c>
    </row>
    <row r="420" spans="1:10" ht="30" x14ac:dyDescent="0.2">
      <c r="A420" s="93">
        <v>1557</v>
      </c>
      <c r="B420" s="96" t="s">
        <v>340</v>
      </c>
      <c r="C420" s="95">
        <v>1994</v>
      </c>
      <c r="D420" s="96" t="s">
        <v>341</v>
      </c>
      <c r="E420" s="96" t="s">
        <v>342</v>
      </c>
      <c r="F420" s="101">
        <v>14.53</v>
      </c>
      <c r="G420" s="103"/>
      <c r="H420" s="104"/>
      <c r="I420" s="101">
        <v>13.48</v>
      </c>
      <c r="J420" s="99">
        <f>Table336789101112131415[[#This Row],[Sched C/ County/ State]]-Table336789101112131415[[#This Row],[2025 Rate]]</f>
        <v>1.05</v>
      </c>
    </row>
    <row r="421" spans="1:10" x14ac:dyDescent="0.2">
      <c r="A421" s="93">
        <v>1558</v>
      </c>
      <c r="B421" s="96" t="s">
        <v>343</v>
      </c>
      <c r="C421" s="95">
        <v>1994</v>
      </c>
      <c r="D421" s="96" t="s">
        <v>331</v>
      </c>
      <c r="E421" s="96" t="s">
        <v>344</v>
      </c>
      <c r="F421" s="101">
        <v>14.53</v>
      </c>
      <c r="G421" s="103"/>
      <c r="H421" s="104"/>
      <c r="I421" s="101">
        <v>13.48</v>
      </c>
      <c r="J421" s="99">
        <f>Table336789101112131415[[#This Row],[Sched C/ County/ State]]-Table336789101112131415[[#This Row],[2025 Rate]]</f>
        <v>1.05</v>
      </c>
    </row>
    <row r="422" spans="1:10" x14ac:dyDescent="0.2">
      <c r="A422" s="93">
        <v>1570</v>
      </c>
      <c r="B422" s="96" t="s">
        <v>337</v>
      </c>
      <c r="C422" s="95">
        <v>1998</v>
      </c>
      <c r="D422" s="96" t="s">
        <v>170</v>
      </c>
      <c r="E422" s="96" t="s">
        <v>345</v>
      </c>
      <c r="F422" s="101">
        <v>15.94</v>
      </c>
      <c r="G422" s="103"/>
      <c r="H422" s="104"/>
      <c r="I422" s="101">
        <v>14.92</v>
      </c>
      <c r="J422" s="99">
        <f>Table336789101112131415[[#This Row],[Sched C/ County/ State]]-Table336789101112131415[[#This Row],[2025 Rate]]</f>
        <v>1.02</v>
      </c>
    </row>
    <row r="423" spans="1:10" x14ac:dyDescent="0.2">
      <c r="A423" s="93">
        <v>1577</v>
      </c>
      <c r="B423" s="96" t="s">
        <v>346</v>
      </c>
      <c r="C423" s="95">
        <v>1949</v>
      </c>
      <c r="D423" s="96" t="s">
        <v>175</v>
      </c>
      <c r="E423" s="96" t="s">
        <v>337</v>
      </c>
      <c r="F423" s="101">
        <v>14.53</v>
      </c>
      <c r="G423" s="103"/>
      <c r="H423" s="104"/>
      <c r="I423" s="101">
        <v>13.48</v>
      </c>
      <c r="J423" s="99">
        <f>Table336789101112131415[[#This Row],[Sched C/ County/ State]]-Table336789101112131415[[#This Row],[2025 Rate]]</f>
        <v>1.05</v>
      </c>
    </row>
    <row r="424" spans="1:10" x14ac:dyDescent="0.2">
      <c r="A424" s="93">
        <v>1579</v>
      </c>
      <c r="B424" s="96" t="s">
        <v>347</v>
      </c>
      <c r="C424" s="95">
        <v>1994</v>
      </c>
      <c r="D424" s="96" t="s">
        <v>331</v>
      </c>
      <c r="E424" s="96" t="s">
        <v>337</v>
      </c>
      <c r="F424" s="101">
        <v>14.53</v>
      </c>
      <c r="G424" s="103"/>
      <c r="H424" s="104"/>
      <c r="I424" s="101">
        <v>13.48</v>
      </c>
      <c r="J424" s="99">
        <f>Table336789101112131415[[#This Row],[Sched C/ County/ State]]-Table336789101112131415[[#This Row],[2025 Rate]]</f>
        <v>1.05</v>
      </c>
    </row>
    <row r="425" spans="1:10" x14ac:dyDescent="0.2">
      <c r="A425" s="93">
        <v>1582</v>
      </c>
      <c r="B425" s="96" t="s">
        <v>348</v>
      </c>
      <c r="C425" s="95">
        <v>1949</v>
      </c>
      <c r="D425" s="96" t="s">
        <v>175</v>
      </c>
      <c r="E425" s="96" t="s">
        <v>337</v>
      </c>
      <c r="F425" s="101">
        <v>14.53</v>
      </c>
      <c r="G425" s="103"/>
      <c r="H425" s="104"/>
      <c r="I425" s="101">
        <v>13.48</v>
      </c>
      <c r="J425" s="99">
        <f>Table336789101112131415[[#This Row],[Sched C/ County/ State]]-Table336789101112131415[[#This Row],[2025 Rate]]</f>
        <v>1.05</v>
      </c>
    </row>
    <row r="426" spans="1:10" ht="30" x14ac:dyDescent="0.2">
      <c r="A426" s="93">
        <v>1583</v>
      </c>
      <c r="B426" s="96" t="s">
        <v>337</v>
      </c>
      <c r="C426" s="95">
        <v>2000</v>
      </c>
      <c r="D426" s="96" t="s">
        <v>349</v>
      </c>
      <c r="E426" s="96" t="s">
        <v>350</v>
      </c>
      <c r="F426" s="101">
        <v>14.53</v>
      </c>
      <c r="G426" s="103"/>
      <c r="H426" s="104"/>
      <c r="I426" s="101">
        <v>13.48</v>
      </c>
      <c r="J426" s="99">
        <f>Table336789101112131415[[#This Row],[Sched C/ County/ State]]-Table336789101112131415[[#This Row],[2025 Rate]]</f>
        <v>1.05</v>
      </c>
    </row>
    <row r="427" spans="1:10" ht="30" x14ac:dyDescent="0.2">
      <c r="A427" s="93">
        <v>1584</v>
      </c>
      <c r="B427" s="96" t="s">
        <v>351</v>
      </c>
      <c r="C427" s="95">
        <v>2001</v>
      </c>
      <c r="D427" s="96" t="s">
        <v>170</v>
      </c>
      <c r="E427" s="96" t="s">
        <v>352</v>
      </c>
      <c r="F427" s="101">
        <v>15.94</v>
      </c>
      <c r="G427" s="103"/>
      <c r="H427" s="104"/>
      <c r="I427" s="101">
        <v>14.92</v>
      </c>
      <c r="J427" s="99">
        <f>Table336789101112131415[[#This Row],[Sched C/ County/ State]]-Table336789101112131415[[#This Row],[2025 Rate]]</f>
        <v>1.02</v>
      </c>
    </row>
    <row r="428" spans="1:10" ht="30" x14ac:dyDescent="0.2">
      <c r="A428" s="93">
        <v>1588</v>
      </c>
      <c r="B428" s="96" t="s">
        <v>351</v>
      </c>
      <c r="C428" s="95">
        <v>2001</v>
      </c>
      <c r="D428" s="96" t="s">
        <v>170</v>
      </c>
      <c r="E428" s="96" t="s">
        <v>353</v>
      </c>
      <c r="F428" s="101">
        <v>15.94</v>
      </c>
      <c r="G428" s="103"/>
      <c r="H428" s="104"/>
      <c r="I428" s="101">
        <v>14.92</v>
      </c>
      <c r="J428" s="99">
        <f>Table336789101112131415[[#This Row],[Sched C/ County/ State]]-Table336789101112131415[[#This Row],[2025 Rate]]</f>
        <v>1.02</v>
      </c>
    </row>
    <row r="429" spans="1:10" x14ac:dyDescent="0.2">
      <c r="A429" s="93">
        <v>1589</v>
      </c>
      <c r="B429" s="96" t="s">
        <v>351</v>
      </c>
      <c r="C429" s="95">
        <v>2001</v>
      </c>
      <c r="D429" s="96" t="s">
        <v>170</v>
      </c>
      <c r="E429" s="96" t="s">
        <v>354</v>
      </c>
      <c r="F429" s="101">
        <v>15.94</v>
      </c>
      <c r="G429" s="103"/>
      <c r="H429" s="104"/>
      <c r="I429" s="101">
        <v>14.92</v>
      </c>
      <c r="J429" s="99">
        <f>Table336789101112131415[[#This Row],[Sched C/ County/ State]]-Table336789101112131415[[#This Row],[2025 Rate]]</f>
        <v>1.02</v>
      </c>
    </row>
    <row r="430" spans="1:10" ht="30" x14ac:dyDescent="0.2">
      <c r="A430" s="93" t="s">
        <v>355</v>
      </c>
      <c r="B430" s="96" t="s">
        <v>351</v>
      </c>
      <c r="C430" s="95">
        <v>2001</v>
      </c>
      <c r="D430" s="96" t="s">
        <v>170</v>
      </c>
      <c r="E430" s="96" t="s">
        <v>353</v>
      </c>
      <c r="F430" s="101">
        <v>15.94</v>
      </c>
      <c r="G430" s="103"/>
      <c r="H430" s="104"/>
      <c r="I430" s="101">
        <v>14.92</v>
      </c>
      <c r="J430" s="99">
        <f>Table336789101112131415[[#This Row],[Sched C/ County/ State]]-Table336789101112131415[[#This Row],[2025 Rate]]</f>
        <v>1.02</v>
      </c>
    </row>
    <row r="431" spans="1:10" ht="30" x14ac:dyDescent="0.2">
      <c r="A431" s="93">
        <v>1592</v>
      </c>
      <c r="B431" s="96" t="s">
        <v>351</v>
      </c>
      <c r="C431" s="95">
        <v>2001</v>
      </c>
      <c r="D431" s="96" t="s">
        <v>170</v>
      </c>
      <c r="E431" s="96" t="s">
        <v>353</v>
      </c>
      <c r="F431" s="101">
        <v>15.94</v>
      </c>
      <c r="G431" s="103"/>
      <c r="H431" s="104"/>
      <c r="I431" s="101">
        <v>14.92</v>
      </c>
      <c r="J431" s="99">
        <f>Table336789101112131415[[#This Row],[Sched C/ County/ State]]-Table336789101112131415[[#This Row],[2025 Rate]]</f>
        <v>1.02</v>
      </c>
    </row>
    <row r="432" spans="1:10" ht="30" x14ac:dyDescent="0.2">
      <c r="A432" s="93">
        <v>1593</v>
      </c>
      <c r="B432" s="96" t="s">
        <v>351</v>
      </c>
      <c r="C432" s="95">
        <v>2001</v>
      </c>
      <c r="D432" s="96" t="s">
        <v>170</v>
      </c>
      <c r="E432" s="96" t="s">
        <v>353</v>
      </c>
      <c r="F432" s="101">
        <v>15.94</v>
      </c>
      <c r="G432" s="103"/>
      <c r="H432" s="104"/>
      <c r="I432" s="101">
        <v>14.92</v>
      </c>
      <c r="J432" s="99">
        <f>Table336789101112131415[[#This Row],[Sched C/ County/ State]]-Table336789101112131415[[#This Row],[2025 Rate]]</f>
        <v>1.02</v>
      </c>
    </row>
    <row r="433" spans="1:10" ht="30" x14ac:dyDescent="0.2">
      <c r="A433" s="93">
        <v>1594</v>
      </c>
      <c r="B433" s="96" t="s">
        <v>351</v>
      </c>
      <c r="C433" s="95">
        <v>2001</v>
      </c>
      <c r="D433" s="96" t="s">
        <v>170</v>
      </c>
      <c r="E433" s="96" t="s">
        <v>353</v>
      </c>
      <c r="F433" s="101">
        <v>15.94</v>
      </c>
      <c r="G433" s="103"/>
      <c r="H433" s="104"/>
      <c r="I433" s="101">
        <v>14.92</v>
      </c>
      <c r="J433" s="99">
        <f>Table336789101112131415[[#This Row],[Sched C/ County/ State]]-Table336789101112131415[[#This Row],[2025 Rate]]</f>
        <v>1.02</v>
      </c>
    </row>
    <row r="434" spans="1:10" ht="30" x14ac:dyDescent="0.2">
      <c r="A434" s="93">
        <v>1595</v>
      </c>
      <c r="B434" s="96" t="s">
        <v>351</v>
      </c>
      <c r="C434" s="95">
        <v>2001</v>
      </c>
      <c r="D434" s="96" t="s">
        <v>170</v>
      </c>
      <c r="E434" s="96" t="s">
        <v>356</v>
      </c>
      <c r="F434" s="101">
        <v>15.94</v>
      </c>
      <c r="G434" s="103"/>
      <c r="H434" s="104"/>
      <c r="I434" s="101">
        <v>14.92</v>
      </c>
      <c r="J434" s="99">
        <f>Table336789101112131415[[#This Row],[Sched C/ County/ State]]-Table336789101112131415[[#This Row],[2025 Rate]]</f>
        <v>1.02</v>
      </c>
    </row>
    <row r="435" spans="1:10" ht="30" x14ac:dyDescent="0.2">
      <c r="A435" s="93">
        <v>1596</v>
      </c>
      <c r="B435" s="96" t="s">
        <v>351</v>
      </c>
      <c r="C435" s="95">
        <v>2001</v>
      </c>
      <c r="D435" s="96" t="s">
        <v>170</v>
      </c>
      <c r="E435" s="96" t="s">
        <v>353</v>
      </c>
      <c r="F435" s="101">
        <v>15.94</v>
      </c>
      <c r="G435" s="103"/>
      <c r="H435" s="104"/>
      <c r="I435" s="101">
        <v>14.92</v>
      </c>
      <c r="J435" s="99">
        <f>Table336789101112131415[[#This Row],[Sched C/ County/ State]]-Table336789101112131415[[#This Row],[2025 Rate]]</f>
        <v>1.02</v>
      </c>
    </row>
    <row r="436" spans="1:10" x14ac:dyDescent="0.2">
      <c r="A436" s="93" t="s">
        <v>357</v>
      </c>
      <c r="B436" s="96" t="s">
        <v>358</v>
      </c>
      <c r="C436" s="95">
        <v>1974</v>
      </c>
      <c r="D436" s="96" t="s">
        <v>359</v>
      </c>
      <c r="E436" s="96" t="s">
        <v>360</v>
      </c>
      <c r="F436" s="101">
        <v>15.94</v>
      </c>
      <c r="G436" s="103"/>
      <c r="H436" s="104"/>
      <c r="I436" s="101">
        <v>14.92</v>
      </c>
      <c r="J436" s="99">
        <f>Table336789101112131415[[#This Row],[Sched C/ County/ State]]-Table336789101112131415[[#This Row],[2025 Rate]]</f>
        <v>1.02</v>
      </c>
    </row>
    <row r="437" spans="1:10" ht="30" x14ac:dyDescent="0.2">
      <c r="A437" s="93">
        <v>1604</v>
      </c>
      <c r="B437" s="96" t="s">
        <v>337</v>
      </c>
      <c r="C437" s="95">
        <v>1994</v>
      </c>
      <c r="D437" s="96" t="s">
        <v>170</v>
      </c>
      <c r="E437" s="96" t="s">
        <v>335</v>
      </c>
      <c r="F437" s="101">
        <v>16.989999999999998</v>
      </c>
      <c r="G437" s="103"/>
      <c r="H437" s="104"/>
      <c r="I437" s="101">
        <v>15.9</v>
      </c>
      <c r="J437" s="99">
        <f>Table336789101112131415[[#This Row],[Sched C/ County/ State]]-Table336789101112131415[[#This Row],[2025 Rate]]</f>
        <v>1.0900000000000001</v>
      </c>
    </row>
    <row r="438" spans="1:10" ht="30" x14ac:dyDescent="0.2">
      <c r="A438" s="93" t="s">
        <v>361</v>
      </c>
      <c r="B438" s="96" t="s">
        <v>337</v>
      </c>
      <c r="C438" s="95">
        <v>1994</v>
      </c>
      <c r="D438" s="96" t="s">
        <v>170</v>
      </c>
      <c r="E438" s="96" t="s">
        <v>335</v>
      </c>
      <c r="F438" s="101">
        <v>16.989999999999998</v>
      </c>
      <c r="G438" s="103"/>
      <c r="H438" s="104"/>
      <c r="I438" s="101">
        <v>15.9</v>
      </c>
      <c r="J438" s="99">
        <f>Table336789101112131415[[#This Row],[Sched C/ County/ State]]-Table336789101112131415[[#This Row],[2025 Rate]]</f>
        <v>1.0900000000000001</v>
      </c>
    </row>
    <row r="439" spans="1:10" x14ac:dyDescent="0.2">
      <c r="A439" s="93">
        <v>1623</v>
      </c>
      <c r="B439" s="96" t="s">
        <v>362</v>
      </c>
      <c r="C439" s="95">
        <v>2009</v>
      </c>
      <c r="D439" s="96" t="s">
        <v>170</v>
      </c>
      <c r="F439" s="101">
        <v>13.06</v>
      </c>
      <c r="G439" s="103"/>
      <c r="H439" s="104"/>
      <c r="I439" s="101">
        <v>12.22</v>
      </c>
      <c r="J439" s="99">
        <f>Table336789101112131415[[#This Row],[Sched C/ County/ State]]-Table336789101112131415[[#This Row],[2025 Rate]]</f>
        <v>0.84</v>
      </c>
    </row>
    <row r="440" spans="1:10" x14ac:dyDescent="0.2">
      <c r="A440" s="93">
        <v>1641</v>
      </c>
      <c r="B440" s="96" t="s">
        <v>362</v>
      </c>
      <c r="C440" s="95">
        <v>2009</v>
      </c>
      <c r="F440" s="101">
        <v>13.06</v>
      </c>
      <c r="G440" s="103"/>
      <c r="H440" s="104"/>
      <c r="I440" s="101">
        <v>12.22</v>
      </c>
      <c r="J440" s="99">
        <f>Table336789101112131415[[#This Row],[Sched C/ County/ State]]-Table336789101112131415[[#This Row],[2025 Rate]]</f>
        <v>0.84</v>
      </c>
    </row>
    <row r="441" spans="1:10" x14ac:dyDescent="0.2">
      <c r="A441" s="93">
        <v>1642</v>
      </c>
      <c r="B441" s="96" t="s">
        <v>351</v>
      </c>
      <c r="C441" s="95">
        <v>2001</v>
      </c>
      <c r="D441" s="96" t="s">
        <v>170</v>
      </c>
      <c r="E441" s="96" t="s">
        <v>363</v>
      </c>
      <c r="F441" s="101">
        <v>15.94</v>
      </c>
      <c r="G441" s="103"/>
      <c r="H441" s="104"/>
      <c r="I441" s="101">
        <v>14.92</v>
      </c>
      <c r="J441" s="99">
        <f>Table336789101112131415[[#This Row],[Sched C/ County/ State]]-Table336789101112131415[[#This Row],[2025 Rate]]</f>
        <v>1.02</v>
      </c>
    </row>
    <row r="442" spans="1:10" x14ac:dyDescent="0.2">
      <c r="A442" s="93">
        <v>1643</v>
      </c>
      <c r="B442" s="96" t="s">
        <v>351</v>
      </c>
      <c r="C442" s="95">
        <v>2001</v>
      </c>
      <c r="D442" s="96" t="s">
        <v>170</v>
      </c>
      <c r="E442" s="96" t="s">
        <v>363</v>
      </c>
      <c r="F442" s="101">
        <v>15.94</v>
      </c>
      <c r="G442" s="103"/>
      <c r="H442" s="104"/>
      <c r="I442" s="101">
        <v>14.92</v>
      </c>
      <c r="J442" s="99">
        <f>Table336789101112131415[[#This Row],[Sched C/ County/ State]]-Table336789101112131415[[#This Row],[2025 Rate]]</f>
        <v>1.02</v>
      </c>
    </row>
    <row r="443" spans="1:10" x14ac:dyDescent="0.2">
      <c r="A443" s="93">
        <v>1644</v>
      </c>
      <c r="B443" s="96" t="s">
        <v>362</v>
      </c>
      <c r="C443" s="95">
        <v>2009</v>
      </c>
      <c r="D443" s="96" t="s">
        <v>170</v>
      </c>
      <c r="F443" s="101">
        <v>13.06</v>
      </c>
      <c r="G443" s="103"/>
      <c r="H443" s="104"/>
      <c r="I443" s="101">
        <v>12.22</v>
      </c>
      <c r="J443" s="99">
        <f>Table336789101112131415[[#This Row],[Sched C/ County/ State]]-Table336789101112131415[[#This Row],[2025 Rate]]</f>
        <v>0.84</v>
      </c>
    </row>
    <row r="444" spans="1:10" x14ac:dyDescent="0.2">
      <c r="A444" s="93">
        <v>1645</v>
      </c>
      <c r="B444" s="96" t="s">
        <v>351</v>
      </c>
      <c r="C444" s="95">
        <v>2004</v>
      </c>
      <c r="F444" s="101">
        <v>15.94</v>
      </c>
      <c r="G444" s="103"/>
      <c r="H444" s="104"/>
      <c r="I444" s="101">
        <v>14.92</v>
      </c>
      <c r="J444" s="99">
        <f>Table336789101112131415[[#This Row],[Sched C/ County/ State]]-Table336789101112131415[[#This Row],[2025 Rate]]</f>
        <v>1.02</v>
      </c>
    </row>
    <row r="445" spans="1:10" x14ac:dyDescent="0.2">
      <c r="A445" s="93">
        <v>1646</v>
      </c>
      <c r="B445" s="96" t="s">
        <v>351</v>
      </c>
      <c r="C445" s="95">
        <v>2004</v>
      </c>
      <c r="F445" s="101">
        <v>15.94</v>
      </c>
      <c r="G445" s="103"/>
      <c r="H445" s="104"/>
      <c r="I445" s="101">
        <v>14.92</v>
      </c>
      <c r="J445" s="99">
        <f>Table336789101112131415[[#This Row],[Sched C/ County/ State]]-Table336789101112131415[[#This Row],[2025 Rate]]</f>
        <v>1.02</v>
      </c>
    </row>
    <row r="446" spans="1:10" ht="30" x14ac:dyDescent="0.2">
      <c r="A446" s="93">
        <v>1647</v>
      </c>
      <c r="B446" s="96" t="s">
        <v>351</v>
      </c>
      <c r="C446" s="95">
        <v>2004</v>
      </c>
      <c r="D446" s="96" t="s">
        <v>170</v>
      </c>
      <c r="E446" s="96" t="s">
        <v>364</v>
      </c>
      <c r="F446" s="101">
        <v>15.94</v>
      </c>
      <c r="G446" s="103"/>
      <c r="H446" s="104"/>
      <c r="I446" s="101">
        <v>14.92</v>
      </c>
      <c r="J446" s="99">
        <f>Table336789101112131415[[#This Row],[Sched C/ County/ State]]-Table336789101112131415[[#This Row],[2025 Rate]]</f>
        <v>1.02</v>
      </c>
    </row>
    <row r="447" spans="1:10" x14ac:dyDescent="0.2">
      <c r="A447" s="93">
        <v>1648</v>
      </c>
      <c r="B447" s="96" t="s">
        <v>351</v>
      </c>
      <c r="C447" s="95">
        <v>2000</v>
      </c>
      <c r="F447" s="101">
        <v>15.94</v>
      </c>
      <c r="G447" s="103"/>
      <c r="H447" s="104"/>
      <c r="I447" s="101">
        <v>14.92</v>
      </c>
      <c r="J447" s="99">
        <f>Table336789101112131415[[#This Row],[Sched C/ County/ State]]-Table336789101112131415[[#This Row],[2025 Rate]]</f>
        <v>1.02</v>
      </c>
    </row>
    <row r="448" spans="1:10" x14ac:dyDescent="0.2">
      <c r="A448" s="93">
        <v>1649</v>
      </c>
      <c r="B448" s="96" t="s">
        <v>351</v>
      </c>
      <c r="C448" s="95">
        <v>2004</v>
      </c>
      <c r="F448" s="101">
        <v>15.94</v>
      </c>
      <c r="G448" s="103"/>
      <c r="H448" s="104"/>
      <c r="I448" s="101">
        <v>14.92</v>
      </c>
      <c r="J448" s="99">
        <f>Table336789101112131415[[#This Row],[Sched C/ County/ State]]-Table336789101112131415[[#This Row],[2025 Rate]]</f>
        <v>1.02</v>
      </c>
    </row>
    <row r="449" spans="1:10" x14ac:dyDescent="0.2">
      <c r="A449" s="93" t="s">
        <v>365</v>
      </c>
      <c r="B449" s="96" t="s">
        <v>351</v>
      </c>
      <c r="C449" s="95">
        <v>2005</v>
      </c>
      <c r="D449" s="96" t="s">
        <v>170</v>
      </c>
      <c r="F449" s="101">
        <v>15.94</v>
      </c>
      <c r="G449" s="103"/>
      <c r="H449" s="104"/>
      <c r="I449" s="101">
        <v>14.92</v>
      </c>
      <c r="J449" s="99">
        <f>Table336789101112131415[[#This Row],[Sched C/ County/ State]]-Table336789101112131415[[#This Row],[2025 Rate]]</f>
        <v>1.02</v>
      </c>
    </row>
    <row r="450" spans="1:10" x14ac:dyDescent="0.2">
      <c r="A450" s="93">
        <v>1652</v>
      </c>
      <c r="B450" s="96" t="s">
        <v>351</v>
      </c>
      <c r="C450" s="95">
        <v>2005</v>
      </c>
      <c r="F450" s="101">
        <v>15.94</v>
      </c>
      <c r="G450" s="103"/>
      <c r="H450" s="104"/>
      <c r="I450" s="101">
        <v>14.92</v>
      </c>
      <c r="J450" s="99">
        <f>Table336789101112131415[[#This Row],[Sched C/ County/ State]]-Table336789101112131415[[#This Row],[2025 Rate]]</f>
        <v>1.02</v>
      </c>
    </row>
    <row r="451" spans="1:10" x14ac:dyDescent="0.2">
      <c r="A451" s="93">
        <v>1654</v>
      </c>
      <c r="B451" s="96" t="s">
        <v>351</v>
      </c>
      <c r="C451" s="95">
        <v>2007</v>
      </c>
      <c r="D451" s="96" t="s">
        <v>170</v>
      </c>
      <c r="E451" s="96" t="s">
        <v>366</v>
      </c>
      <c r="F451" s="101">
        <v>15.94</v>
      </c>
      <c r="G451" s="103"/>
      <c r="H451" s="104"/>
      <c r="I451" s="101">
        <v>14.92</v>
      </c>
      <c r="J451" s="99">
        <f>Table336789101112131415[[#This Row],[Sched C/ County/ State]]-Table336789101112131415[[#This Row],[2025 Rate]]</f>
        <v>1.02</v>
      </c>
    </row>
    <row r="452" spans="1:10" x14ac:dyDescent="0.2">
      <c r="A452" s="93">
        <v>1657</v>
      </c>
      <c r="B452" s="96" t="s">
        <v>362</v>
      </c>
      <c r="C452" s="95">
        <v>2008</v>
      </c>
      <c r="D452" s="96" t="s">
        <v>170</v>
      </c>
      <c r="F452" s="101">
        <v>13.06</v>
      </c>
      <c r="G452" s="103"/>
      <c r="H452" s="104"/>
      <c r="I452" s="101">
        <v>12.22</v>
      </c>
      <c r="J452" s="99">
        <f>Table336789101112131415[[#This Row],[Sched C/ County/ State]]-Table336789101112131415[[#This Row],[2025 Rate]]</f>
        <v>0.84</v>
      </c>
    </row>
    <row r="453" spans="1:10" x14ac:dyDescent="0.2">
      <c r="A453" s="93">
        <v>1661</v>
      </c>
      <c r="B453" s="96" t="s">
        <v>362</v>
      </c>
      <c r="C453" s="95">
        <v>2008</v>
      </c>
      <c r="F453" s="101">
        <v>13.06</v>
      </c>
      <c r="G453" s="103"/>
      <c r="H453" s="104"/>
      <c r="I453" s="101">
        <v>12.22</v>
      </c>
      <c r="J453" s="99">
        <f>Table336789101112131415[[#This Row],[Sched C/ County/ State]]-Table336789101112131415[[#This Row],[2025 Rate]]</f>
        <v>0.84</v>
      </c>
    </row>
    <row r="454" spans="1:10" x14ac:dyDescent="0.2">
      <c r="A454" s="93">
        <v>1662</v>
      </c>
      <c r="B454" s="96" t="s">
        <v>362</v>
      </c>
      <c r="C454" s="95">
        <v>2009</v>
      </c>
      <c r="D454" s="96" t="s">
        <v>170</v>
      </c>
      <c r="F454" s="101">
        <v>13.06</v>
      </c>
      <c r="G454" s="103"/>
      <c r="H454" s="104"/>
      <c r="I454" s="101">
        <v>12.22</v>
      </c>
      <c r="J454" s="99">
        <f>Table336789101112131415[[#This Row],[Sched C/ County/ State]]-Table336789101112131415[[#This Row],[2025 Rate]]</f>
        <v>0.84</v>
      </c>
    </row>
    <row r="455" spans="1:10" x14ac:dyDescent="0.2">
      <c r="A455" s="93">
        <v>1663</v>
      </c>
      <c r="B455" s="96" t="s">
        <v>362</v>
      </c>
      <c r="C455" s="95">
        <v>2009</v>
      </c>
      <c r="D455" s="96" t="s">
        <v>170</v>
      </c>
      <c r="F455" s="101">
        <v>13.06</v>
      </c>
      <c r="G455" s="103"/>
      <c r="H455" s="104"/>
      <c r="I455" s="101">
        <v>12.22</v>
      </c>
      <c r="J455" s="99">
        <f>Table336789101112131415[[#This Row],[Sched C/ County/ State]]-Table336789101112131415[[#This Row],[2025 Rate]]</f>
        <v>0.84</v>
      </c>
    </row>
    <row r="456" spans="1:10" x14ac:dyDescent="0.2">
      <c r="A456" s="93">
        <v>1664</v>
      </c>
      <c r="B456" s="96" t="s">
        <v>362</v>
      </c>
      <c r="C456" s="95">
        <v>2009</v>
      </c>
      <c r="D456" s="96" t="s">
        <v>170</v>
      </c>
      <c r="F456" s="101">
        <v>13.06</v>
      </c>
      <c r="G456" s="103"/>
      <c r="H456" s="104"/>
      <c r="I456" s="101">
        <v>12.22</v>
      </c>
      <c r="J456" s="99">
        <f>Table336789101112131415[[#This Row],[Sched C/ County/ State]]-Table336789101112131415[[#This Row],[2025 Rate]]</f>
        <v>0.84</v>
      </c>
    </row>
    <row r="457" spans="1:10" x14ac:dyDescent="0.2">
      <c r="A457" s="93">
        <v>1665</v>
      </c>
      <c r="B457" s="96" t="s">
        <v>362</v>
      </c>
      <c r="C457" s="95">
        <v>2009</v>
      </c>
      <c r="D457" s="96" t="s">
        <v>170</v>
      </c>
      <c r="E457" s="96" t="s">
        <v>367</v>
      </c>
      <c r="F457" s="101">
        <v>13.06</v>
      </c>
      <c r="G457" s="103"/>
      <c r="H457" s="104"/>
      <c r="I457" s="101">
        <v>12.22</v>
      </c>
      <c r="J457" s="99">
        <f>Table336789101112131415[[#This Row],[Sched C/ County/ State]]-Table336789101112131415[[#This Row],[2025 Rate]]</f>
        <v>0.84</v>
      </c>
    </row>
    <row r="458" spans="1:10" x14ac:dyDescent="0.2">
      <c r="A458" s="93">
        <v>1666</v>
      </c>
      <c r="B458" s="96" t="s">
        <v>362</v>
      </c>
      <c r="C458" s="95">
        <v>2009</v>
      </c>
      <c r="D458" s="96" t="s">
        <v>170</v>
      </c>
      <c r="F458" s="101">
        <v>13.06</v>
      </c>
      <c r="G458" s="103"/>
      <c r="H458" s="104"/>
      <c r="I458" s="101">
        <v>12.22</v>
      </c>
      <c r="J458" s="99">
        <f>Table336789101112131415[[#This Row],[Sched C/ County/ State]]-Table336789101112131415[[#This Row],[2025 Rate]]</f>
        <v>0.84</v>
      </c>
    </row>
    <row r="459" spans="1:10" x14ac:dyDescent="0.2">
      <c r="A459" s="93">
        <v>1668</v>
      </c>
      <c r="B459" s="96" t="s">
        <v>368</v>
      </c>
      <c r="C459" s="95">
        <v>1995</v>
      </c>
      <c r="D459" s="96" t="s">
        <v>170</v>
      </c>
      <c r="E459" s="96" t="s">
        <v>345</v>
      </c>
      <c r="F459" s="101">
        <v>15.94</v>
      </c>
      <c r="G459" s="103"/>
      <c r="H459" s="104"/>
      <c r="I459" s="101">
        <v>14.92</v>
      </c>
      <c r="J459" s="99">
        <f>Table336789101112131415[[#This Row],[Sched C/ County/ State]]-Table336789101112131415[[#This Row],[2025 Rate]]</f>
        <v>1.02</v>
      </c>
    </row>
    <row r="460" spans="1:10" x14ac:dyDescent="0.2">
      <c r="A460" s="93">
        <v>1669</v>
      </c>
      <c r="B460" s="96" t="s">
        <v>368</v>
      </c>
      <c r="C460" s="95">
        <v>1995</v>
      </c>
      <c r="D460" s="96" t="s">
        <v>170</v>
      </c>
      <c r="E460" s="96" t="s">
        <v>345</v>
      </c>
      <c r="F460" s="101">
        <v>15.94</v>
      </c>
      <c r="G460" s="103"/>
      <c r="H460" s="104"/>
      <c r="I460" s="101">
        <v>14.92</v>
      </c>
      <c r="J460" s="99">
        <f>Table336789101112131415[[#This Row],[Sched C/ County/ State]]-Table336789101112131415[[#This Row],[2025 Rate]]</f>
        <v>1.02</v>
      </c>
    </row>
    <row r="461" spans="1:10" x14ac:dyDescent="0.2">
      <c r="A461" s="93">
        <v>1671</v>
      </c>
      <c r="B461" s="96" t="s">
        <v>368</v>
      </c>
      <c r="C461" s="95">
        <v>1995</v>
      </c>
      <c r="D461" s="96" t="s">
        <v>170</v>
      </c>
      <c r="E461" s="96" t="s">
        <v>345</v>
      </c>
      <c r="F461" s="101">
        <v>15.94</v>
      </c>
      <c r="G461" s="103"/>
      <c r="H461" s="104"/>
      <c r="I461" s="101">
        <v>14.92</v>
      </c>
      <c r="J461" s="99">
        <f>Table336789101112131415[[#This Row],[Sched C/ County/ State]]-Table336789101112131415[[#This Row],[2025 Rate]]</f>
        <v>1.02</v>
      </c>
    </row>
    <row r="462" spans="1:10" x14ac:dyDescent="0.2">
      <c r="A462" s="93">
        <v>1676</v>
      </c>
      <c r="B462" s="96" t="s">
        <v>368</v>
      </c>
      <c r="C462" s="95">
        <v>1995</v>
      </c>
      <c r="D462" s="96" t="s">
        <v>170</v>
      </c>
      <c r="E462" s="96" t="s">
        <v>345</v>
      </c>
      <c r="F462" s="101">
        <v>15.94</v>
      </c>
      <c r="G462" s="103"/>
      <c r="H462" s="104"/>
      <c r="I462" s="101">
        <v>14.92</v>
      </c>
      <c r="J462" s="99">
        <f>Table336789101112131415[[#This Row],[Sched C/ County/ State]]-Table336789101112131415[[#This Row],[2025 Rate]]</f>
        <v>1.02</v>
      </c>
    </row>
    <row r="463" spans="1:10" x14ac:dyDescent="0.2">
      <c r="A463" s="93">
        <v>1677</v>
      </c>
      <c r="B463" s="96" t="s">
        <v>369</v>
      </c>
      <c r="C463" s="95">
        <v>2009</v>
      </c>
      <c r="F463" s="101">
        <v>13.06</v>
      </c>
      <c r="G463" s="103"/>
      <c r="H463" s="104"/>
      <c r="I463" s="101">
        <v>12.22</v>
      </c>
      <c r="J463" s="99">
        <f>Table336789101112131415[[#This Row],[Sched C/ County/ State]]-Table336789101112131415[[#This Row],[2025 Rate]]</f>
        <v>0.84</v>
      </c>
    </row>
    <row r="464" spans="1:10" x14ac:dyDescent="0.2">
      <c r="A464" s="93">
        <v>1678</v>
      </c>
      <c r="B464" s="96" t="s">
        <v>362</v>
      </c>
      <c r="C464" s="95">
        <v>2009</v>
      </c>
      <c r="D464" s="96" t="s">
        <v>170</v>
      </c>
      <c r="F464" s="101">
        <v>13.06</v>
      </c>
      <c r="G464" s="103"/>
      <c r="H464" s="104"/>
      <c r="I464" s="101">
        <v>12.22</v>
      </c>
      <c r="J464" s="99">
        <f>Table336789101112131415[[#This Row],[Sched C/ County/ State]]-Table336789101112131415[[#This Row],[2025 Rate]]</f>
        <v>0.84</v>
      </c>
    </row>
    <row r="465" spans="1:10" x14ac:dyDescent="0.2">
      <c r="A465" s="93">
        <v>1679</v>
      </c>
      <c r="B465" s="96" t="s">
        <v>370</v>
      </c>
      <c r="C465" s="95">
        <v>2004</v>
      </c>
      <c r="D465" s="96" t="s">
        <v>205</v>
      </c>
      <c r="E465" s="96" t="s">
        <v>371</v>
      </c>
      <c r="F465" s="101">
        <v>16.989999999999998</v>
      </c>
      <c r="G465" s="103"/>
      <c r="H465" s="104"/>
      <c r="I465" s="101">
        <v>15.9</v>
      </c>
      <c r="J465" s="99">
        <f>Table336789101112131415[[#This Row],[Sched C/ County/ State]]-Table336789101112131415[[#This Row],[2025 Rate]]</f>
        <v>1.0900000000000001</v>
      </c>
    </row>
    <row r="466" spans="1:10" x14ac:dyDescent="0.2">
      <c r="A466" s="93" t="s">
        <v>372</v>
      </c>
      <c r="B466" s="96" t="s">
        <v>370</v>
      </c>
      <c r="C466" s="95">
        <v>2004</v>
      </c>
      <c r="D466" s="96" t="s">
        <v>205</v>
      </c>
      <c r="E466" s="96" t="s">
        <v>373</v>
      </c>
      <c r="F466" s="101">
        <v>16.989999999999998</v>
      </c>
      <c r="G466" s="103"/>
      <c r="H466" s="104"/>
      <c r="I466" s="101">
        <v>15.9</v>
      </c>
      <c r="J466" s="99">
        <f>Table336789101112131415[[#This Row],[Sched C/ County/ State]]-Table336789101112131415[[#This Row],[2025 Rate]]</f>
        <v>1.0900000000000001</v>
      </c>
    </row>
    <row r="467" spans="1:10" x14ac:dyDescent="0.2">
      <c r="A467" s="93">
        <v>1681</v>
      </c>
      <c r="B467" s="96" t="s">
        <v>351</v>
      </c>
      <c r="C467" s="95">
        <v>2002</v>
      </c>
      <c r="D467" s="96" t="s">
        <v>205</v>
      </c>
      <c r="E467" s="96" t="s">
        <v>374</v>
      </c>
      <c r="F467" s="101">
        <v>16.989999999999998</v>
      </c>
      <c r="G467" s="103"/>
      <c r="H467" s="104"/>
      <c r="I467" s="101">
        <v>15.9</v>
      </c>
      <c r="J467" s="99">
        <f>Table336789101112131415[[#This Row],[Sched C/ County/ State]]-Table336789101112131415[[#This Row],[2025 Rate]]</f>
        <v>1.0900000000000001</v>
      </c>
    </row>
    <row r="468" spans="1:10" x14ac:dyDescent="0.2">
      <c r="A468" s="93">
        <v>1682</v>
      </c>
      <c r="B468" s="96" t="s">
        <v>351</v>
      </c>
      <c r="C468" s="95">
        <v>2001</v>
      </c>
      <c r="D468" s="96" t="s">
        <v>205</v>
      </c>
      <c r="E468" s="96" t="s">
        <v>375</v>
      </c>
      <c r="F468" s="101">
        <v>16.989999999999998</v>
      </c>
      <c r="G468" s="103"/>
      <c r="H468" s="104"/>
      <c r="I468" s="101">
        <v>15.9</v>
      </c>
      <c r="J468" s="99">
        <f>Table336789101112131415[[#This Row],[Sched C/ County/ State]]-Table336789101112131415[[#This Row],[2025 Rate]]</f>
        <v>1.0900000000000001</v>
      </c>
    </row>
    <row r="469" spans="1:10" x14ac:dyDescent="0.2">
      <c r="A469" s="93">
        <v>1683</v>
      </c>
      <c r="B469" s="96" t="s">
        <v>351</v>
      </c>
      <c r="C469" s="95">
        <v>2001</v>
      </c>
      <c r="D469" s="96" t="s">
        <v>205</v>
      </c>
      <c r="E469" s="96" t="s">
        <v>375</v>
      </c>
      <c r="F469" s="101">
        <v>16.989999999999998</v>
      </c>
      <c r="G469" s="103"/>
      <c r="H469" s="104"/>
      <c r="I469" s="101">
        <v>15.9</v>
      </c>
      <c r="J469" s="99">
        <f>Table336789101112131415[[#This Row],[Sched C/ County/ State]]-Table336789101112131415[[#This Row],[2025 Rate]]</f>
        <v>1.0900000000000001</v>
      </c>
    </row>
    <row r="470" spans="1:10" x14ac:dyDescent="0.2">
      <c r="A470" s="93">
        <v>1684</v>
      </c>
      <c r="B470" s="96" t="s">
        <v>351</v>
      </c>
      <c r="C470" s="95">
        <v>2001</v>
      </c>
      <c r="D470" s="96" t="s">
        <v>205</v>
      </c>
      <c r="E470" s="96" t="s">
        <v>375</v>
      </c>
      <c r="F470" s="101">
        <v>16.989999999999998</v>
      </c>
      <c r="G470" s="103"/>
      <c r="H470" s="104"/>
      <c r="I470" s="101">
        <v>15.9</v>
      </c>
      <c r="J470" s="99">
        <f>Table336789101112131415[[#This Row],[Sched C/ County/ State]]-Table336789101112131415[[#This Row],[2025 Rate]]</f>
        <v>1.0900000000000001</v>
      </c>
    </row>
    <row r="471" spans="1:10" ht="30" x14ac:dyDescent="0.2">
      <c r="A471" s="93">
        <v>1685</v>
      </c>
      <c r="B471" s="96" t="s">
        <v>351</v>
      </c>
      <c r="C471" s="95">
        <v>2002</v>
      </c>
      <c r="D471" s="96" t="s">
        <v>170</v>
      </c>
      <c r="E471" s="96" t="s">
        <v>353</v>
      </c>
      <c r="F471" s="101">
        <v>15.94</v>
      </c>
      <c r="G471" s="103"/>
      <c r="H471" s="104"/>
      <c r="I471" s="101">
        <v>14.92</v>
      </c>
      <c r="J471" s="99">
        <f>Table336789101112131415[[#This Row],[Sched C/ County/ State]]-Table336789101112131415[[#This Row],[2025 Rate]]</f>
        <v>1.02</v>
      </c>
    </row>
    <row r="472" spans="1:10" ht="30" x14ac:dyDescent="0.2">
      <c r="A472" s="93">
        <v>1686</v>
      </c>
      <c r="B472" s="96" t="s">
        <v>351</v>
      </c>
      <c r="C472" s="95">
        <v>2002</v>
      </c>
      <c r="D472" s="96" t="s">
        <v>170</v>
      </c>
      <c r="E472" s="96" t="s">
        <v>376</v>
      </c>
      <c r="F472" s="101">
        <v>15.94</v>
      </c>
      <c r="G472" s="103"/>
      <c r="H472" s="104"/>
      <c r="I472" s="101">
        <v>14.92</v>
      </c>
      <c r="J472" s="99">
        <f>Table336789101112131415[[#This Row],[Sched C/ County/ State]]-Table336789101112131415[[#This Row],[2025 Rate]]</f>
        <v>1.02</v>
      </c>
    </row>
    <row r="473" spans="1:10" ht="30" x14ac:dyDescent="0.2">
      <c r="A473" s="93">
        <v>1687</v>
      </c>
      <c r="B473" s="96" t="s">
        <v>351</v>
      </c>
      <c r="C473" s="95">
        <v>2002</v>
      </c>
      <c r="D473" s="96" t="s">
        <v>170</v>
      </c>
      <c r="E473" s="96" t="s">
        <v>376</v>
      </c>
      <c r="F473" s="101">
        <v>15.94</v>
      </c>
      <c r="G473" s="103"/>
      <c r="H473" s="104"/>
      <c r="I473" s="101">
        <v>14.92</v>
      </c>
      <c r="J473" s="99">
        <f>Table336789101112131415[[#This Row],[Sched C/ County/ State]]-Table336789101112131415[[#This Row],[2025 Rate]]</f>
        <v>1.02</v>
      </c>
    </row>
    <row r="474" spans="1:10" x14ac:dyDescent="0.2">
      <c r="A474" s="93">
        <v>1688</v>
      </c>
      <c r="B474" s="96" t="s">
        <v>370</v>
      </c>
      <c r="C474" s="95">
        <v>2003</v>
      </c>
      <c r="D474" s="96" t="s">
        <v>377</v>
      </c>
      <c r="F474" s="101">
        <v>16.989999999999998</v>
      </c>
      <c r="G474" s="103"/>
      <c r="H474" s="104"/>
      <c r="I474" s="101">
        <v>15.9</v>
      </c>
      <c r="J474" s="99">
        <f>Table336789101112131415[[#This Row],[Sched C/ County/ State]]-Table336789101112131415[[#This Row],[2025 Rate]]</f>
        <v>1.0900000000000001</v>
      </c>
    </row>
    <row r="475" spans="1:10" x14ac:dyDescent="0.2">
      <c r="A475" s="93">
        <v>1689</v>
      </c>
      <c r="B475" s="96" t="s">
        <v>370</v>
      </c>
      <c r="C475" s="95">
        <v>2003</v>
      </c>
      <c r="D475" s="96" t="s">
        <v>377</v>
      </c>
      <c r="F475" s="101">
        <v>16.989999999999998</v>
      </c>
      <c r="G475" s="103"/>
      <c r="H475" s="104"/>
      <c r="I475" s="101">
        <v>15.9</v>
      </c>
      <c r="J475" s="99">
        <f>Table336789101112131415[[#This Row],[Sched C/ County/ State]]-Table336789101112131415[[#This Row],[2025 Rate]]</f>
        <v>1.0900000000000001</v>
      </c>
    </row>
    <row r="476" spans="1:10" x14ac:dyDescent="0.2">
      <c r="A476" s="93" t="s">
        <v>378</v>
      </c>
      <c r="B476" s="96" t="s">
        <v>370</v>
      </c>
      <c r="C476" s="95">
        <v>2003</v>
      </c>
      <c r="D476" s="96" t="s">
        <v>377</v>
      </c>
      <c r="F476" s="101">
        <v>16.989999999999998</v>
      </c>
      <c r="G476" s="103"/>
      <c r="H476" s="104"/>
      <c r="I476" s="101">
        <v>15.9</v>
      </c>
      <c r="J476" s="99">
        <f>Table336789101112131415[[#This Row],[Sched C/ County/ State]]-Table336789101112131415[[#This Row],[2025 Rate]]</f>
        <v>1.0900000000000001</v>
      </c>
    </row>
    <row r="477" spans="1:10" x14ac:dyDescent="0.2">
      <c r="A477" s="93" t="s">
        <v>379</v>
      </c>
      <c r="B477" s="96" t="s">
        <v>370</v>
      </c>
      <c r="C477" s="95">
        <v>2005</v>
      </c>
      <c r="F477" s="101">
        <v>16.989999999999998</v>
      </c>
      <c r="G477" s="103"/>
      <c r="H477" s="104"/>
      <c r="I477" s="101">
        <v>15.9</v>
      </c>
      <c r="J477" s="99">
        <f>Table336789101112131415[[#This Row],[Sched C/ County/ State]]-Table336789101112131415[[#This Row],[2025 Rate]]</f>
        <v>1.0900000000000001</v>
      </c>
    </row>
    <row r="478" spans="1:10" x14ac:dyDescent="0.2">
      <c r="A478" s="93">
        <v>1692</v>
      </c>
      <c r="B478" s="96" t="s">
        <v>351</v>
      </c>
      <c r="C478" s="95">
        <v>2006</v>
      </c>
      <c r="E478" s="96" t="s">
        <v>380</v>
      </c>
      <c r="F478" s="101">
        <v>16.989999999999998</v>
      </c>
      <c r="G478" s="103"/>
      <c r="H478" s="104"/>
      <c r="I478" s="101">
        <v>15.9</v>
      </c>
      <c r="J478" s="99">
        <f>Table336789101112131415[[#This Row],[Sched C/ County/ State]]-Table336789101112131415[[#This Row],[2025 Rate]]</f>
        <v>1.0900000000000001</v>
      </c>
    </row>
    <row r="479" spans="1:10" x14ac:dyDescent="0.2">
      <c r="A479" s="93">
        <v>1693</v>
      </c>
      <c r="B479" s="96" t="s">
        <v>351</v>
      </c>
      <c r="C479" s="95">
        <v>2006</v>
      </c>
      <c r="E479" s="96" t="s">
        <v>380</v>
      </c>
      <c r="F479" s="101">
        <v>16.989999999999998</v>
      </c>
      <c r="G479" s="103"/>
      <c r="H479" s="104"/>
      <c r="I479" s="101">
        <v>15.9</v>
      </c>
      <c r="J479" s="99">
        <f>Table336789101112131415[[#This Row],[Sched C/ County/ State]]-Table336789101112131415[[#This Row],[2025 Rate]]</f>
        <v>1.0900000000000001</v>
      </c>
    </row>
    <row r="480" spans="1:10" x14ac:dyDescent="0.2">
      <c r="A480" s="93">
        <v>1694</v>
      </c>
      <c r="B480" s="96" t="s">
        <v>381</v>
      </c>
      <c r="C480" s="95">
        <v>2009</v>
      </c>
      <c r="D480" s="96" t="s">
        <v>205</v>
      </c>
      <c r="F480" s="101">
        <v>16.989999999999998</v>
      </c>
      <c r="G480" s="103"/>
      <c r="H480" s="104"/>
      <c r="I480" s="101">
        <v>15.9</v>
      </c>
      <c r="J480" s="99">
        <f>Table336789101112131415[[#This Row],[Sched C/ County/ State]]-Table336789101112131415[[#This Row],[2025 Rate]]</f>
        <v>1.0900000000000001</v>
      </c>
    </row>
    <row r="481" spans="1:10" x14ac:dyDescent="0.2">
      <c r="A481" s="93">
        <v>1695</v>
      </c>
      <c r="B481" s="94" t="s">
        <v>362</v>
      </c>
      <c r="C481" s="95">
        <v>2017</v>
      </c>
      <c r="D481" s="96" t="s">
        <v>170</v>
      </c>
      <c r="F481" s="101">
        <v>13.06</v>
      </c>
      <c r="G481" s="105"/>
      <c r="H481" s="106"/>
      <c r="I481" s="101">
        <v>12.22</v>
      </c>
      <c r="J481" s="99">
        <f>Table336789101112131415[[#This Row],[Sched C/ County/ State]]-Table336789101112131415[[#This Row],[2025 Rate]]</f>
        <v>0.84</v>
      </c>
    </row>
    <row r="482" spans="1:10" x14ac:dyDescent="0.2">
      <c r="A482" s="93">
        <v>1696</v>
      </c>
      <c r="B482" s="94" t="s">
        <v>362</v>
      </c>
      <c r="C482" s="95">
        <v>2017</v>
      </c>
      <c r="D482" s="96" t="s">
        <v>170</v>
      </c>
      <c r="F482" s="101">
        <v>13.06</v>
      </c>
      <c r="G482" s="105"/>
      <c r="H482" s="106"/>
      <c r="I482" s="101">
        <v>12.22</v>
      </c>
      <c r="J482" s="99">
        <f>Table336789101112131415[[#This Row],[Sched C/ County/ State]]-Table336789101112131415[[#This Row],[2025 Rate]]</f>
        <v>0.84</v>
      </c>
    </row>
    <row r="483" spans="1:10" ht="30" x14ac:dyDescent="0.2">
      <c r="A483" s="93">
        <v>1697</v>
      </c>
      <c r="B483" s="96" t="s">
        <v>351</v>
      </c>
      <c r="C483" s="95">
        <v>2002</v>
      </c>
      <c r="D483" s="96" t="s">
        <v>170</v>
      </c>
      <c r="E483" s="96" t="s">
        <v>376</v>
      </c>
      <c r="F483" s="101">
        <v>15.94</v>
      </c>
      <c r="G483" s="103"/>
      <c r="H483" s="104"/>
      <c r="I483" s="101">
        <v>14.92</v>
      </c>
      <c r="J483" s="99">
        <f>Table336789101112131415[[#This Row],[Sched C/ County/ State]]-Table336789101112131415[[#This Row],[2025 Rate]]</f>
        <v>1.02</v>
      </c>
    </row>
    <row r="484" spans="1:10" ht="30" x14ac:dyDescent="0.2">
      <c r="A484" s="93">
        <v>1698</v>
      </c>
      <c r="B484" s="96" t="s">
        <v>351</v>
      </c>
      <c r="C484" s="95">
        <v>2002</v>
      </c>
      <c r="D484" s="96" t="s">
        <v>170</v>
      </c>
      <c r="E484" s="96" t="s">
        <v>382</v>
      </c>
      <c r="F484" s="101">
        <v>15.94</v>
      </c>
      <c r="G484" s="103"/>
      <c r="H484" s="104"/>
      <c r="I484" s="101">
        <v>14.92</v>
      </c>
      <c r="J484" s="99">
        <f>Table336789101112131415[[#This Row],[Sched C/ County/ State]]-Table336789101112131415[[#This Row],[2025 Rate]]</f>
        <v>1.02</v>
      </c>
    </row>
    <row r="485" spans="1:10" ht="30" x14ac:dyDescent="0.2">
      <c r="A485" s="93">
        <v>1699</v>
      </c>
      <c r="B485" s="96" t="s">
        <v>351</v>
      </c>
      <c r="C485" s="95">
        <v>2002</v>
      </c>
      <c r="D485" s="96" t="s">
        <v>170</v>
      </c>
      <c r="E485" s="96" t="s">
        <v>353</v>
      </c>
      <c r="F485" s="101">
        <v>15.94</v>
      </c>
      <c r="G485" s="103"/>
      <c r="H485" s="104"/>
      <c r="I485" s="101">
        <v>14.92</v>
      </c>
      <c r="J485" s="99">
        <f>Table336789101112131415[[#This Row],[Sched C/ County/ State]]-Table336789101112131415[[#This Row],[2025 Rate]]</f>
        <v>1.02</v>
      </c>
    </row>
    <row r="486" spans="1:10" x14ac:dyDescent="0.2">
      <c r="A486" s="93" t="s">
        <v>383</v>
      </c>
      <c r="B486" s="96" t="s">
        <v>384</v>
      </c>
      <c r="C486" s="95">
        <v>2004</v>
      </c>
      <c r="D486" s="96" t="s">
        <v>385</v>
      </c>
      <c r="E486" s="96" t="s">
        <v>386</v>
      </c>
      <c r="F486" s="101">
        <v>23.39</v>
      </c>
      <c r="G486" s="103"/>
      <c r="H486" s="104"/>
      <c r="I486" s="101">
        <v>21.89</v>
      </c>
      <c r="J486" s="99">
        <f>Table336789101112131415[[#This Row],[Sched C/ County/ State]]-Table336789101112131415[[#This Row],[2025 Rate]]</f>
        <v>1.5</v>
      </c>
    </row>
    <row r="487" spans="1:10" x14ac:dyDescent="0.2">
      <c r="A487" s="93">
        <v>1744</v>
      </c>
      <c r="B487" s="96" t="s">
        <v>387</v>
      </c>
      <c r="C487" s="95">
        <v>2005</v>
      </c>
      <c r="D487" s="96" t="s">
        <v>388</v>
      </c>
      <c r="E487" s="96" t="s">
        <v>389</v>
      </c>
      <c r="F487" s="101">
        <v>20.95</v>
      </c>
      <c r="G487" s="103"/>
      <c r="H487" s="104"/>
      <c r="I487" s="101">
        <v>19.45</v>
      </c>
      <c r="J487" s="99">
        <f>Table336789101112131415[[#This Row],[Sched C/ County/ State]]-Table336789101112131415[[#This Row],[2025 Rate]]</f>
        <v>1.5</v>
      </c>
    </row>
    <row r="488" spans="1:10" x14ac:dyDescent="0.2">
      <c r="A488" s="93">
        <v>1747</v>
      </c>
      <c r="B488" s="96" t="s">
        <v>390</v>
      </c>
      <c r="C488" s="95">
        <v>2008</v>
      </c>
      <c r="D488" s="96" t="s">
        <v>391</v>
      </c>
      <c r="E488" s="96" t="s">
        <v>392</v>
      </c>
      <c r="F488" s="101">
        <v>27.63</v>
      </c>
      <c r="G488" s="103"/>
      <c r="H488" s="104"/>
      <c r="I488" s="101">
        <v>25.86</v>
      </c>
      <c r="J488" s="99">
        <f>Table336789101112131415[[#This Row],[Sched C/ County/ State]]-Table336789101112131415[[#This Row],[2025 Rate]]</f>
        <v>1.77</v>
      </c>
    </row>
    <row r="489" spans="1:10" x14ac:dyDescent="0.2">
      <c r="A489" s="93">
        <v>1748</v>
      </c>
      <c r="B489" s="96" t="s">
        <v>390</v>
      </c>
      <c r="C489" s="95">
        <v>2008</v>
      </c>
      <c r="D489" s="96" t="s">
        <v>391</v>
      </c>
      <c r="E489" s="96" t="s">
        <v>392</v>
      </c>
      <c r="F489" s="101">
        <v>27.63</v>
      </c>
      <c r="G489" s="103"/>
      <c r="H489" s="104"/>
      <c r="I489" s="101">
        <v>25.86</v>
      </c>
      <c r="J489" s="99">
        <f>Table336789101112131415[[#This Row],[Sched C/ County/ State]]-Table336789101112131415[[#This Row],[2025 Rate]]</f>
        <v>1.77</v>
      </c>
    </row>
    <row r="490" spans="1:10" x14ac:dyDescent="0.2">
      <c r="A490" s="93" t="s">
        <v>393</v>
      </c>
      <c r="B490" s="94" t="s">
        <v>394</v>
      </c>
      <c r="C490" s="95">
        <v>2018</v>
      </c>
      <c r="D490" s="96" t="s">
        <v>395</v>
      </c>
      <c r="E490" s="96" t="s">
        <v>396</v>
      </c>
      <c r="F490" s="101">
        <v>36.880000000000003</v>
      </c>
      <c r="G490" s="103"/>
      <c r="H490" s="104"/>
      <c r="I490" s="101">
        <v>34.51</v>
      </c>
      <c r="J490" s="99">
        <f>Table336789101112131415[[#This Row],[Sched C/ County/ State]]-Table336789101112131415[[#This Row],[2025 Rate]]</f>
        <v>2.37</v>
      </c>
    </row>
    <row r="491" spans="1:10" x14ac:dyDescent="0.2">
      <c r="A491" s="93">
        <v>1751</v>
      </c>
      <c r="B491" s="94" t="s">
        <v>397</v>
      </c>
      <c r="C491" s="95"/>
      <c r="D491" s="96" t="s">
        <v>398</v>
      </c>
      <c r="E491" s="96" t="s">
        <v>399</v>
      </c>
      <c r="F491" s="101">
        <v>36.880000000000003</v>
      </c>
      <c r="G491" s="103"/>
      <c r="H491" s="104"/>
      <c r="I491" s="101">
        <v>34.51</v>
      </c>
      <c r="J491" s="99">
        <f>Table336789101112131415[[#This Row],[Sched C/ County/ State]]-Table336789101112131415[[#This Row],[2025 Rate]]</f>
        <v>2.37</v>
      </c>
    </row>
    <row r="492" spans="1:10" x14ac:dyDescent="0.2">
      <c r="A492" s="93">
        <v>1752</v>
      </c>
      <c r="B492" s="96" t="s">
        <v>387</v>
      </c>
      <c r="C492" s="95">
        <v>2008</v>
      </c>
      <c r="D492" s="96" t="s">
        <v>388</v>
      </c>
      <c r="E492" s="96" t="s">
        <v>400</v>
      </c>
      <c r="F492" s="101">
        <v>23.39</v>
      </c>
      <c r="G492" s="103"/>
      <c r="H492" s="104"/>
      <c r="I492" s="101">
        <v>21.89</v>
      </c>
      <c r="J492" s="99">
        <f>Table336789101112131415[[#This Row],[Sched C/ County/ State]]-Table336789101112131415[[#This Row],[2025 Rate]]</f>
        <v>1.5</v>
      </c>
    </row>
    <row r="493" spans="1:10" x14ac:dyDescent="0.2">
      <c r="A493" s="93">
        <v>1753</v>
      </c>
      <c r="B493" s="96" t="s">
        <v>387</v>
      </c>
      <c r="C493" s="95">
        <v>2008</v>
      </c>
      <c r="D493" s="96" t="s">
        <v>388</v>
      </c>
      <c r="E493" s="96" t="s">
        <v>400</v>
      </c>
      <c r="F493" s="101">
        <v>23.39</v>
      </c>
      <c r="G493" s="103"/>
      <c r="H493" s="104"/>
      <c r="I493" s="101">
        <v>21.89</v>
      </c>
      <c r="J493" s="99">
        <f>Table336789101112131415[[#This Row],[Sched C/ County/ State]]-Table336789101112131415[[#This Row],[2025 Rate]]</f>
        <v>1.5</v>
      </c>
    </row>
    <row r="494" spans="1:10" x14ac:dyDescent="0.2">
      <c r="A494" s="93">
        <v>1754</v>
      </c>
      <c r="B494" s="96" t="s">
        <v>387</v>
      </c>
      <c r="C494" s="95">
        <v>2008</v>
      </c>
      <c r="D494" s="96" t="s">
        <v>388</v>
      </c>
      <c r="E494" s="96" t="s">
        <v>400</v>
      </c>
      <c r="F494" s="101">
        <v>23.39</v>
      </c>
      <c r="G494" s="103"/>
      <c r="H494" s="104"/>
      <c r="I494" s="101">
        <v>21.89</v>
      </c>
      <c r="J494" s="99">
        <f>Table336789101112131415[[#This Row],[Sched C/ County/ State]]-Table336789101112131415[[#This Row],[2025 Rate]]</f>
        <v>1.5</v>
      </c>
    </row>
    <row r="495" spans="1:10" x14ac:dyDescent="0.2">
      <c r="A495" s="93">
        <v>1755</v>
      </c>
      <c r="B495" s="96" t="s">
        <v>387</v>
      </c>
      <c r="C495" s="95">
        <v>2008</v>
      </c>
      <c r="D495" s="96" t="s">
        <v>388</v>
      </c>
      <c r="E495" s="96" t="s">
        <v>400</v>
      </c>
      <c r="F495" s="101">
        <v>23.39</v>
      </c>
      <c r="G495" s="103"/>
      <c r="H495" s="104"/>
      <c r="I495" s="101">
        <v>21.89</v>
      </c>
      <c r="J495" s="99">
        <f>Table336789101112131415[[#This Row],[Sched C/ County/ State]]-Table336789101112131415[[#This Row],[2025 Rate]]</f>
        <v>1.5</v>
      </c>
    </row>
    <row r="496" spans="1:10" x14ac:dyDescent="0.2">
      <c r="A496" s="93">
        <v>1757</v>
      </c>
      <c r="B496" s="94" t="s">
        <v>397</v>
      </c>
      <c r="C496" s="95">
        <v>2019</v>
      </c>
      <c r="D496" s="96" t="s">
        <v>398</v>
      </c>
      <c r="E496" s="96" t="s">
        <v>399</v>
      </c>
      <c r="F496" s="101">
        <v>36.880000000000003</v>
      </c>
      <c r="G496" s="103"/>
      <c r="H496" s="104"/>
      <c r="I496" s="101">
        <v>34.51</v>
      </c>
      <c r="J496" s="99">
        <f>Table336789101112131415[[#This Row],[Sched C/ County/ State]]-Table336789101112131415[[#This Row],[2025 Rate]]</f>
        <v>2.37</v>
      </c>
    </row>
    <row r="497" spans="1:10" x14ac:dyDescent="0.2">
      <c r="A497" s="93">
        <v>1758</v>
      </c>
      <c r="B497" s="94" t="s">
        <v>401</v>
      </c>
      <c r="C497" s="95">
        <v>2019</v>
      </c>
      <c r="D497" s="96" t="s">
        <v>398</v>
      </c>
      <c r="E497" s="108">
        <v>2997503</v>
      </c>
      <c r="F497" s="101">
        <v>36.880000000000003</v>
      </c>
      <c r="G497" s="103"/>
      <c r="H497" s="104"/>
      <c r="I497" s="101">
        <v>34.51</v>
      </c>
      <c r="J497" s="99">
        <f>Table336789101112131415[[#This Row],[Sched C/ County/ State]]-Table336789101112131415[[#This Row],[2025 Rate]]</f>
        <v>2.37</v>
      </c>
    </row>
    <row r="498" spans="1:10" x14ac:dyDescent="0.2">
      <c r="A498" s="93">
        <v>1759</v>
      </c>
      <c r="B498" s="94" t="s">
        <v>401</v>
      </c>
      <c r="C498" s="95">
        <v>2019</v>
      </c>
      <c r="D498" s="96" t="s">
        <v>398</v>
      </c>
      <c r="E498" s="108">
        <v>2997503</v>
      </c>
      <c r="F498" s="101">
        <v>36.880000000000003</v>
      </c>
      <c r="G498" s="103"/>
      <c r="H498" s="104"/>
      <c r="I498" s="101">
        <v>34.51</v>
      </c>
      <c r="J498" s="99">
        <f>Table336789101112131415[[#This Row],[Sched C/ County/ State]]-Table336789101112131415[[#This Row],[2025 Rate]]</f>
        <v>2.37</v>
      </c>
    </row>
    <row r="499" spans="1:10" x14ac:dyDescent="0.2">
      <c r="A499" s="93">
        <v>1762</v>
      </c>
      <c r="B499" s="96" t="s">
        <v>402</v>
      </c>
      <c r="C499" s="95">
        <v>2008</v>
      </c>
      <c r="F499" s="101">
        <v>23.39</v>
      </c>
      <c r="G499" s="103"/>
      <c r="H499" s="104"/>
      <c r="I499" s="101">
        <v>21.89</v>
      </c>
      <c r="J499" s="99">
        <f>Table336789101112131415[[#This Row],[Sched C/ County/ State]]-Table336789101112131415[[#This Row],[2025 Rate]]</f>
        <v>1.5</v>
      </c>
    </row>
    <row r="500" spans="1:10" ht="30" x14ac:dyDescent="0.2">
      <c r="A500" s="93">
        <v>1800</v>
      </c>
      <c r="B500" s="96" t="s">
        <v>403</v>
      </c>
      <c r="C500" s="95">
        <v>2015</v>
      </c>
      <c r="D500" s="96" t="s">
        <v>404</v>
      </c>
      <c r="E500" s="96" t="s">
        <v>405</v>
      </c>
      <c r="F500" s="101">
        <v>16.05</v>
      </c>
      <c r="G500" s="103"/>
      <c r="H500" s="104"/>
      <c r="I500" s="101">
        <v>14.89</v>
      </c>
      <c r="J500" s="99">
        <f>Table336789101112131415[[#This Row],[Sched C/ County/ State]]-Table336789101112131415[[#This Row],[2025 Rate]]</f>
        <v>1.1599999999999999</v>
      </c>
    </row>
    <row r="501" spans="1:10" x14ac:dyDescent="0.2">
      <c r="A501" s="93">
        <v>1809</v>
      </c>
      <c r="B501" s="96" t="s">
        <v>92</v>
      </c>
      <c r="C501" s="95">
        <v>1998</v>
      </c>
      <c r="D501" s="96" t="s">
        <v>406</v>
      </c>
      <c r="E501" s="96" t="s">
        <v>407</v>
      </c>
      <c r="F501" s="101">
        <v>29.1</v>
      </c>
      <c r="G501" s="103"/>
      <c r="H501" s="104"/>
      <c r="I501" s="101">
        <v>27.23</v>
      </c>
      <c r="J501" s="99">
        <f>Table336789101112131415[[#This Row],[Sched C/ County/ State]]-Table336789101112131415[[#This Row],[2025 Rate]]</f>
        <v>1.87</v>
      </c>
    </row>
    <row r="502" spans="1:10" x14ac:dyDescent="0.2">
      <c r="A502" s="93">
        <v>1820</v>
      </c>
      <c r="B502" s="96" t="s">
        <v>92</v>
      </c>
      <c r="C502" s="95">
        <v>1996</v>
      </c>
      <c r="D502" s="96" t="s">
        <v>408</v>
      </c>
      <c r="E502" s="96" t="s">
        <v>409</v>
      </c>
      <c r="F502" s="101">
        <v>22.07</v>
      </c>
      <c r="G502" s="103"/>
      <c r="H502" s="104"/>
      <c r="I502" s="101">
        <v>20.65</v>
      </c>
      <c r="J502" s="99">
        <f>Table336789101112131415[[#This Row],[Sched C/ County/ State]]-Table336789101112131415[[#This Row],[2025 Rate]]</f>
        <v>1.42</v>
      </c>
    </row>
    <row r="503" spans="1:10" x14ac:dyDescent="0.2">
      <c r="A503" s="93">
        <v>1822</v>
      </c>
      <c r="B503" s="96" t="s">
        <v>92</v>
      </c>
      <c r="C503" s="95">
        <v>1996</v>
      </c>
      <c r="D503" s="96" t="s">
        <v>408</v>
      </c>
      <c r="E503" s="96" t="s">
        <v>409</v>
      </c>
      <c r="F503" s="101">
        <v>22.07</v>
      </c>
      <c r="G503" s="103"/>
      <c r="H503" s="104"/>
      <c r="I503" s="101">
        <v>20.65</v>
      </c>
      <c r="J503" s="99">
        <f>Table336789101112131415[[#This Row],[Sched C/ County/ State]]-Table336789101112131415[[#This Row],[2025 Rate]]</f>
        <v>1.42</v>
      </c>
    </row>
    <row r="504" spans="1:10" x14ac:dyDescent="0.2">
      <c r="A504" s="93">
        <v>1823</v>
      </c>
      <c r="B504" s="96" t="s">
        <v>410</v>
      </c>
      <c r="C504" s="95">
        <v>1973</v>
      </c>
      <c r="D504" s="96" t="s">
        <v>411</v>
      </c>
      <c r="E504" s="96" t="s">
        <v>412</v>
      </c>
      <c r="F504" s="101">
        <v>7.74</v>
      </c>
      <c r="G504" s="103"/>
      <c r="H504" s="104"/>
      <c r="I504" s="101">
        <v>7.24</v>
      </c>
      <c r="J504" s="99">
        <f>Table336789101112131415[[#This Row],[Sched C/ County/ State]]-Table336789101112131415[[#This Row],[2025 Rate]]</f>
        <v>0.5</v>
      </c>
    </row>
    <row r="505" spans="1:10" x14ac:dyDescent="0.2">
      <c r="A505" s="93">
        <v>1824</v>
      </c>
      <c r="B505" s="96" t="s">
        <v>413</v>
      </c>
      <c r="C505" s="95">
        <v>2014</v>
      </c>
      <c r="D505" s="96" t="s">
        <v>408</v>
      </c>
      <c r="E505" s="96" t="s">
        <v>414</v>
      </c>
      <c r="F505" s="101">
        <v>29.1</v>
      </c>
      <c r="G505" s="103"/>
      <c r="H505" s="104"/>
      <c r="I505" s="101">
        <v>27.23</v>
      </c>
      <c r="J505" s="99">
        <f>Table336789101112131415[[#This Row],[Sched C/ County/ State]]-Table336789101112131415[[#This Row],[2025 Rate]]</f>
        <v>1.87</v>
      </c>
    </row>
    <row r="506" spans="1:10" x14ac:dyDescent="0.2">
      <c r="A506" s="93">
        <v>1825</v>
      </c>
      <c r="B506" s="96" t="s">
        <v>92</v>
      </c>
      <c r="C506" s="95">
        <v>2002</v>
      </c>
      <c r="D506" s="96" t="s">
        <v>415</v>
      </c>
      <c r="F506" s="101">
        <v>16.05</v>
      </c>
      <c r="G506" s="103"/>
      <c r="H506" s="104"/>
      <c r="I506" s="101">
        <v>14.89</v>
      </c>
      <c r="J506" s="99">
        <f>Table336789101112131415[[#This Row],[Sched C/ County/ State]]-Table336789101112131415[[#This Row],[2025 Rate]]</f>
        <v>1.1599999999999999</v>
      </c>
    </row>
    <row r="507" spans="1:10" ht="30" x14ac:dyDescent="0.2">
      <c r="A507" s="93">
        <v>1827</v>
      </c>
      <c r="B507" s="96" t="s">
        <v>416</v>
      </c>
      <c r="C507" s="95">
        <v>2011</v>
      </c>
      <c r="D507" s="96" t="s">
        <v>417</v>
      </c>
      <c r="E507" s="96" t="s">
        <v>418</v>
      </c>
      <c r="F507" s="101">
        <v>55.67</v>
      </c>
      <c r="G507" s="103"/>
      <c r="H507" s="104"/>
      <c r="I507" s="101">
        <v>52.1</v>
      </c>
      <c r="J507" s="99">
        <f>Table336789101112131415[[#This Row],[Sched C/ County/ State]]-Table336789101112131415[[#This Row],[2025 Rate]]</f>
        <v>3.57</v>
      </c>
    </row>
    <row r="508" spans="1:10" x14ac:dyDescent="0.2">
      <c r="A508" s="93">
        <v>1828</v>
      </c>
      <c r="B508" s="94" t="s">
        <v>419</v>
      </c>
      <c r="C508" s="95">
        <v>2016</v>
      </c>
      <c r="D508" s="96" t="s">
        <v>420</v>
      </c>
      <c r="E508" s="96" t="s">
        <v>421</v>
      </c>
      <c r="F508" s="101">
        <v>198.4</v>
      </c>
      <c r="G508" s="105"/>
      <c r="H508" s="106"/>
      <c r="I508" s="101">
        <v>185.66</v>
      </c>
      <c r="J508" s="99">
        <f>Table336789101112131415[[#This Row],[Sched C/ County/ State]]-Table336789101112131415[[#This Row],[2025 Rate]]</f>
        <v>12.74</v>
      </c>
    </row>
    <row r="509" spans="1:10" x14ac:dyDescent="0.2">
      <c r="A509" s="93">
        <v>1830</v>
      </c>
      <c r="B509" s="96" t="s">
        <v>422</v>
      </c>
      <c r="C509" s="95">
        <v>2003</v>
      </c>
      <c r="D509" s="96" t="s">
        <v>423</v>
      </c>
      <c r="E509" s="96" t="s">
        <v>424</v>
      </c>
      <c r="F509" s="101">
        <v>14.16</v>
      </c>
      <c r="G509" s="103"/>
      <c r="H509" s="104"/>
      <c r="I509" s="101">
        <v>13.14</v>
      </c>
      <c r="J509" s="99">
        <f>Table336789101112131415[[#This Row],[Sched C/ County/ State]]-Table336789101112131415[[#This Row],[2025 Rate]]</f>
        <v>1.02</v>
      </c>
    </row>
    <row r="510" spans="1:10" x14ac:dyDescent="0.2">
      <c r="A510" s="93">
        <v>1831</v>
      </c>
      <c r="B510" s="96" t="s">
        <v>425</v>
      </c>
      <c r="C510" s="95">
        <v>2003</v>
      </c>
      <c r="D510" s="96" t="s">
        <v>426</v>
      </c>
      <c r="E510" s="96" t="s">
        <v>427</v>
      </c>
      <c r="F510" s="101">
        <v>14.16</v>
      </c>
      <c r="G510" s="103"/>
      <c r="H510" s="104"/>
      <c r="I510" s="101">
        <v>13.14</v>
      </c>
      <c r="J510" s="99">
        <f>Table336789101112131415[[#This Row],[Sched C/ County/ State]]-Table336789101112131415[[#This Row],[2025 Rate]]</f>
        <v>1.02</v>
      </c>
    </row>
    <row r="511" spans="1:10" x14ac:dyDescent="0.2">
      <c r="A511" s="93">
        <v>1832</v>
      </c>
      <c r="B511" s="96" t="s">
        <v>425</v>
      </c>
      <c r="C511" s="95">
        <v>2003</v>
      </c>
      <c r="D511" s="96" t="s">
        <v>426</v>
      </c>
      <c r="E511" s="96" t="s">
        <v>427</v>
      </c>
      <c r="F511" s="101">
        <v>14.16</v>
      </c>
      <c r="G511" s="103"/>
      <c r="H511" s="104"/>
      <c r="I511" s="101">
        <v>13.14</v>
      </c>
      <c r="J511" s="99">
        <f>Table336789101112131415[[#This Row],[Sched C/ County/ State]]-Table336789101112131415[[#This Row],[2025 Rate]]</f>
        <v>1.02</v>
      </c>
    </row>
    <row r="512" spans="1:10" x14ac:dyDescent="0.2">
      <c r="A512" s="109">
        <v>1836</v>
      </c>
      <c r="B512" s="110" t="s">
        <v>428</v>
      </c>
      <c r="C512" s="111">
        <v>2005</v>
      </c>
      <c r="D512" s="110" t="s">
        <v>429</v>
      </c>
      <c r="E512" s="110" t="s">
        <v>430</v>
      </c>
      <c r="F512" s="112">
        <v>16.05</v>
      </c>
      <c r="G512" s="113"/>
      <c r="H512" s="104"/>
      <c r="I512" s="112">
        <v>14.89</v>
      </c>
      <c r="J512" s="114">
        <f>Table336789101112131415[[#This Row],[Sched C/ County/ State]]-Table336789101112131415[[#This Row],[2025 Rate]]</f>
        <v>1.1599999999999999</v>
      </c>
    </row>
    <row r="513" spans="1:10" x14ac:dyDescent="0.2">
      <c r="A513" s="93">
        <v>1837</v>
      </c>
      <c r="B513" s="96" t="s">
        <v>428</v>
      </c>
      <c r="C513" s="95">
        <v>2005</v>
      </c>
      <c r="D513" s="96" t="s">
        <v>429</v>
      </c>
      <c r="E513" s="96" t="s">
        <v>430</v>
      </c>
      <c r="F513" s="101">
        <v>16.05</v>
      </c>
      <c r="G513" s="103"/>
      <c r="H513" s="104"/>
      <c r="I513" s="101">
        <v>14.89</v>
      </c>
      <c r="J513" s="99">
        <f>Table336789101112131415[[#This Row],[Sched C/ County/ State]]-Table336789101112131415[[#This Row],[2025 Rate]]</f>
        <v>1.1599999999999999</v>
      </c>
    </row>
    <row r="514" spans="1:10" x14ac:dyDescent="0.2">
      <c r="A514" s="93">
        <v>1838</v>
      </c>
      <c r="B514" s="94" t="s">
        <v>431</v>
      </c>
      <c r="C514" s="95">
        <v>2017</v>
      </c>
      <c r="D514" s="96" t="s">
        <v>432</v>
      </c>
      <c r="E514" s="96" t="s">
        <v>433</v>
      </c>
      <c r="F514" s="101">
        <v>24.97</v>
      </c>
      <c r="G514" s="103"/>
      <c r="H514" s="104"/>
      <c r="I514" s="101">
        <v>23.37</v>
      </c>
      <c r="J514" s="99">
        <f>Table336789101112131415[[#This Row],[Sched C/ County/ State]]-Table336789101112131415[[#This Row],[2025 Rate]]</f>
        <v>1.6</v>
      </c>
    </row>
    <row r="515" spans="1:10" x14ac:dyDescent="0.2">
      <c r="A515" s="93">
        <v>1839</v>
      </c>
      <c r="B515" s="94" t="s">
        <v>434</v>
      </c>
      <c r="C515" s="95">
        <v>2017</v>
      </c>
      <c r="E515" s="96" t="s">
        <v>433</v>
      </c>
      <c r="F515" s="101">
        <v>6.17</v>
      </c>
      <c r="G515" s="103"/>
      <c r="H515" s="104"/>
      <c r="I515" s="101">
        <v>5.77</v>
      </c>
      <c r="J515" s="99">
        <f>Table336789101112131415[[#This Row],[Sched C/ County/ State]]-Table336789101112131415[[#This Row],[2025 Rate]]</f>
        <v>0.4</v>
      </c>
    </row>
    <row r="516" spans="1:10" x14ac:dyDescent="0.2">
      <c r="A516" s="93">
        <v>1840</v>
      </c>
      <c r="B516" s="94" t="s">
        <v>435</v>
      </c>
      <c r="C516" s="95"/>
      <c r="D516" s="96" t="s">
        <v>436</v>
      </c>
      <c r="F516" s="101">
        <v>198.4</v>
      </c>
      <c r="G516" s="103"/>
      <c r="H516" s="104"/>
      <c r="I516" s="101">
        <v>185.66</v>
      </c>
      <c r="J516" s="99">
        <f>Table336789101112131415[[#This Row],[Sched C/ County/ State]]-Table336789101112131415[[#This Row],[2025 Rate]]</f>
        <v>12.74</v>
      </c>
    </row>
    <row r="517" spans="1:10" ht="30" x14ac:dyDescent="0.2">
      <c r="A517" s="93">
        <v>1841</v>
      </c>
      <c r="B517" s="94" t="s">
        <v>437</v>
      </c>
      <c r="C517" s="95">
        <v>2018</v>
      </c>
      <c r="D517" s="96" t="s">
        <v>438</v>
      </c>
      <c r="E517" s="96" t="s">
        <v>439</v>
      </c>
      <c r="F517" s="101">
        <v>47.75</v>
      </c>
      <c r="G517" s="103"/>
      <c r="H517" s="104"/>
      <c r="I517" s="101">
        <v>44.68</v>
      </c>
      <c r="J517" s="99">
        <f>Table336789101112131415[[#This Row],[Sched C/ County/ State]]-Table336789101112131415[[#This Row],[2025 Rate]]</f>
        <v>3.07</v>
      </c>
    </row>
    <row r="518" spans="1:10" x14ac:dyDescent="0.2">
      <c r="A518" s="93">
        <v>1842</v>
      </c>
      <c r="B518" s="94" t="s">
        <v>440</v>
      </c>
      <c r="C518" s="95">
        <v>2018</v>
      </c>
      <c r="D518" s="96" t="s">
        <v>441</v>
      </c>
      <c r="E518" s="96" t="s">
        <v>442</v>
      </c>
      <c r="F518" s="101">
        <v>3.72</v>
      </c>
      <c r="G518" s="103"/>
      <c r="H518" s="104"/>
      <c r="I518" s="101">
        <v>3.48</v>
      </c>
      <c r="J518" s="99">
        <f>Table336789101112131415[[#This Row],[Sched C/ County/ State]]-Table336789101112131415[[#This Row],[2025 Rate]]</f>
        <v>0.24</v>
      </c>
    </row>
    <row r="519" spans="1:10" x14ac:dyDescent="0.2">
      <c r="A519" s="93">
        <v>1843</v>
      </c>
      <c r="B519" s="94" t="s">
        <v>440</v>
      </c>
      <c r="C519" s="95">
        <v>2018</v>
      </c>
      <c r="D519" s="96" t="s">
        <v>441</v>
      </c>
      <c r="E519" s="96" t="s">
        <v>442</v>
      </c>
      <c r="F519" s="101">
        <v>3.72</v>
      </c>
      <c r="G519" s="103"/>
      <c r="H519" s="104"/>
      <c r="I519" s="101">
        <v>3.48</v>
      </c>
      <c r="J519" s="99">
        <f>Table336789101112131415[[#This Row],[Sched C/ County/ State]]-Table336789101112131415[[#This Row],[2025 Rate]]</f>
        <v>0.24</v>
      </c>
    </row>
    <row r="520" spans="1:10" x14ac:dyDescent="0.2">
      <c r="A520" s="93">
        <v>1844</v>
      </c>
      <c r="B520" s="94" t="s">
        <v>443</v>
      </c>
      <c r="C520" s="95">
        <v>2018</v>
      </c>
      <c r="D520" s="96" t="s">
        <v>444</v>
      </c>
      <c r="F520" s="101">
        <v>16.05</v>
      </c>
      <c r="G520" s="103"/>
      <c r="H520" s="104"/>
      <c r="I520" s="101">
        <v>14.89</v>
      </c>
      <c r="J520" s="99">
        <f>Table336789101112131415[[#This Row],[Sched C/ County/ State]]-Table336789101112131415[[#This Row],[2025 Rate]]</f>
        <v>1.1599999999999999</v>
      </c>
    </row>
    <row r="521" spans="1:10" x14ac:dyDescent="0.2">
      <c r="A521" s="93">
        <v>1845</v>
      </c>
      <c r="B521" s="94" t="s">
        <v>445</v>
      </c>
      <c r="C521" s="95">
        <v>2019</v>
      </c>
      <c r="D521" s="96" t="s">
        <v>404</v>
      </c>
      <c r="E521" s="96" t="s">
        <v>446</v>
      </c>
      <c r="F521" s="101">
        <v>14.16</v>
      </c>
      <c r="G521" s="103"/>
      <c r="H521" s="104"/>
      <c r="I521" s="101">
        <v>13.14</v>
      </c>
      <c r="J521" s="99">
        <f>Table336789101112131415[[#This Row],[Sched C/ County/ State]]-Table336789101112131415[[#This Row],[2025 Rate]]</f>
        <v>1.02</v>
      </c>
    </row>
    <row r="522" spans="1:10" x14ac:dyDescent="0.2">
      <c r="A522" s="93">
        <v>1846</v>
      </c>
      <c r="B522" s="94" t="s">
        <v>445</v>
      </c>
      <c r="C522" s="95">
        <v>2019</v>
      </c>
      <c r="D522" s="96" t="s">
        <v>404</v>
      </c>
      <c r="E522" s="96" t="s">
        <v>446</v>
      </c>
      <c r="F522" s="101">
        <v>14.16</v>
      </c>
      <c r="G522" s="103"/>
      <c r="H522" s="104"/>
      <c r="I522" s="101">
        <v>13.14</v>
      </c>
      <c r="J522" s="99">
        <f>Table336789101112131415[[#This Row],[Sched C/ County/ State]]-Table336789101112131415[[#This Row],[2025 Rate]]</f>
        <v>1.02</v>
      </c>
    </row>
    <row r="523" spans="1:10" x14ac:dyDescent="0.2">
      <c r="A523" s="93">
        <v>1847</v>
      </c>
      <c r="B523" s="94" t="s">
        <v>445</v>
      </c>
      <c r="C523" s="95">
        <v>2020</v>
      </c>
      <c r="D523" s="96" t="s">
        <v>404</v>
      </c>
      <c r="E523" s="96" t="s">
        <v>446</v>
      </c>
      <c r="F523" s="101">
        <v>14.16</v>
      </c>
      <c r="G523" s="103"/>
      <c r="H523" s="104"/>
      <c r="I523" s="101">
        <v>13.14</v>
      </c>
      <c r="J523" s="99">
        <f>Table336789101112131415[[#This Row],[Sched C/ County/ State]]-Table336789101112131415[[#This Row],[2025 Rate]]</f>
        <v>1.02</v>
      </c>
    </row>
    <row r="524" spans="1:10" x14ac:dyDescent="0.2">
      <c r="A524" s="93">
        <v>1848</v>
      </c>
      <c r="B524" s="94" t="s">
        <v>431</v>
      </c>
      <c r="C524" s="95">
        <v>2021</v>
      </c>
      <c r="D524" s="96" t="s">
        <v>433</v>
      </c>
      <c r="E524" s="96" t="s">
        <v>447</v>
      </c>
      <c r="F524" s="101">
        <v>24.97</v>
      </c>
      <c r="G524" s="103"/>
      <c r="H524" s="104"/>
      <c r="I524" s="101">
        <v>23.37</v>
      </c>
      <c r="J524" s="99">
        <f>Table336789101112131415[[#This Row],[Sched C/ County/ State]]-Table336789101112131415[[#This Row],[2025 Rate]]</f>
        <v>1.6</v>
      </c>
    </row>
    <row r="525" spans="1:10" x14ac:dyDescent="0.2">
      <c r="A525" s="93">
        <v>1849</v>
      </c>
      <c r="B525" s="94" t="s">
        <v>448</v>
      </c>
      <c r="C525" s="95">
        <v>2022</v>
      </c>
      <c r="D525" s="96" t="s">
        <v>417</v>
      </c>
      <c r="E525" s="96" t="s">
        <v>449</v>
      </c>
      <c r="F525" s="101">
        <v>29.1</v>
      </c>
      <c r="G525" s="105"/>
      <c r="H525" s="104"/>
      <c r="I525" s="101">
        <v>27.23</v>
      </c>
      <c r="J525" s="99">
        <f>Table336789101112131415[[#This Row],[Sched C/ County/ State]]-Table336789101112131415[[#This Row],[2025 Rate]]</f>
        <v>1.87</v>
      </c>
    </row>
    <row r="526" spans="1:10" x14ac:dyDescent="0.2">
      <c r="A526" s="93">
        <v>1850</v>
      </c>
      <c r="B526" s="94" t="s">
        <v>431</v>
      </c>
      <c r="C526" s="95">
        <v>2022</v>
      </c>
      <c r="D526" s="96" t="s">
        <v>450</v>
      </c>
      <c r="E526" s="96" t="s">
        <v>451</v>
      </c>
      <c r="F526" s="101">
        <v>29.97</v>
      </c>
      <c r="G526" s="105"/>
      <c r="H526" s="104"/>
      <c r="I526" s="101">
        <v>23.37</v>
      </c>
      <c r="J526" s="99">
        <f>Table336789101112131415[[#This Row],[Sched C/ County/ State]]-Table336789101112131415[[#This Row],[2025 Rate]]</f>
        <v>6.6</v>
      </c>
    </row>
    <row r="527" spans="1:10" x14ac:dyDescent="0.2">
      <c r="A527" s="93">
        <v>1851</v>
      </c>
      <c r="B527" s="94" t="s">
        <v>452</v>
      </c>
      <c r="C527" s="95">
        <v>2023</v>
      </c>
      <c r="D527" s="96" t="s">
        <v>408</v>
      </c>
      <c r="E527" s="96" t="s">
        <v>453</v>
      </c>
      <c r="F527" s="101">
        <v>16.05</v>
      </c>
      <c r="G527" s="105"/>
      <c r="H527" s="104"/>
      <c r="I527" s="101">
        <v>14.89</v>
      </c>
      <c r="J527" s="99">
        <f>Table336789101112131415[[#This Row],[Sched C/ County/ State]]-Table336789101112131415[[#This Row],[2025 Rate]]</f>
        <v>1.1599999999999999</v>
      </c>
    </row>
    <row r="528" spans="1:10" x14ac:dyDescent="0.2">
      <c r="A528" s="93">
        <v>1895</v>
      </c>
      <c r="B528" s="94" t="s">
        <v>454</v>
      </c>
      <c r="C528" s="95">
        <v>2021</v>
      </c>
      <c r="D528" s="96" t="s">
        <v>455</v>
      </c>
      <c r="E528" s="96" t="s">
        <v>456</v>
      </c>
      <c r="F528" s="101">
        <v>6.17</v>
      </c>
      <c r="G528" s="103"/>
      <c r="H528" s="104"/>
      <c r="I528" s="101">
        <v>5.77</v>
      </c>
      <c r="J528" s="99">
        <f>Table336789101112131415[[#This Row],[Sched C/ County/ State]]-Table336789101112131415[[#This Row],[2025 Rate]]</f>
        <v>0.4</v>
      </c>
    </row>
    <row r="529" spans="1:10" x14ac:dyDescent="0.2">
      <c r="A529" s="93">
        <v>1896</v>
      </c>
      <c r="B529" s="94" t="s">
        <v>454</v>
      </c>
      <c r="C529" s="95">
        <v>2021</v>
      </c>
      <c r="D529" s="96" t="s">
        <v>455</v>
      </c>
      <c r="E529" s="96" t="s">
        <v>456</v>
      </c>
      <c r="F529" s="101">
        <v>6.17</v>
      </c>
      <c r="G529" s="103"/>
      <c r="H529" s="104"/>
      <c r="I529" s="101">
        <v>5.77</v>
      </c>
      <c r="J529" s="99">
        <f>Table336789101112131415[[#This Row],[Sched C/ County/ State]]-Table336789101112131415[[#This Row],[2025 Rate]]</f>
        <v>0.4</v>
      </c>
    </row>
    <row r="530" spans="1:10" x14ac:dyDescent="0.2">
      <c r="A530" s="93">
        <v>1897</v>
      </c>
      <c r="B530" s="94" t="s">
        <v>454</v>
      </c>
      <c r="C530" s="95">
        <v>2021</v>
      </c>
      <c r="D530" s="96" t="s">
        <v>455</v>
      </c>
      <c r="E530" s="96" t="s">
        <v>456</v>
      </c>
      <c r="F530" s="101">
        <v>6.17</v>
      </c>
      <c r="G530" s="103"/>
      <c r="H530" s="104"/>
      <c r="I530" s="101">
        <v>5.77</v>
      </c>
      <c r="J530" s="99">
        <f>Table336789101112131415[[#This Row],[Sched C/ County/ State]]-Table336789101112131415[[#This Row],[2025 Rate]]</f>
        <v>0.4</v>
      </c>
    </row>
    <row r="531" spans="1:10" x14ac:dyDescent="0.2">
      <c r="A531" s="93">
        <v>1898</v>
      </c>
      <c r="B531" s="94" t="s">
        <v>454</v>
      </c>
      <c r="C531" s="95">
        <v>2018</v>
      </c>
      <c r="D531" s="96" t="s">
        <v>455</v>
      </c>
      <c r="E531" s="96" t="s">
        <v>456</v>
      </c>
      <c r="F531" s="101">
        <v>6.17</v>
      </c>
      <c r="G531" s="103"/>
      <c r="H531" s="104"/>
      <c r="I531" s="101">
        <v>5.77</v>
      </c>
      <c r="J531" s="99">
        <f>Table336789101112131415[[#This Row],[Sched C/ County/ State]]-Table336789101112131415[[#This Row],[2025 Rate]]</f>
        <v>0.4</v>
      </c>
    </row>
    <row r="532" spans="1:10" x14ac:dyDescent="0.2">
      <c r="A532" s="93">
        <v>1899</v>
      </c>
      <c r="B532" s="94" t="s">
        <v>454</v>
      </c>
      <c r="C532" s="95">
        <v>2018</v>
      </c>
      <c r="D532" s="96" t="s">
        <v>455</v>
      </c>
      <c r="E532" s="96" t="s">
        <v>456</v>
      </c>
      <c r="F532" s="101">
        <v>6.17</v>
      </c>
      <c r="G532" s="103"/>
      <c r="H532" s="104"/>
      <c r="I532" s="101">
        <v>5.77</v>
      </c>
      <c r="J532" s="99">
        <f>Table336789101112131415[[#This Row],[Sched C/ County/ State]]-Table336789101112131415[[#This Row],[2025 Rate]]</f>
        <v>0.4</v>
      </c>
    </row>
    <row r="533" spans="1:10" x14ac:dyDescent="0.2">
      <c r="A533" s="93" t="s">
        <v>457</v>
      </c>
      <c r="B533" s="96" t="s">
        <v>458</v>
      </c>
      <c r="C533" s="95">
        <v>2014</v>
      </c>
      <c r="D533" s="96" t="s">
        <v>205</v>
      </c>
      <c r="E533" s="96" t="s">
        <v>459</v>
      </c>
      <c r="F533" s="101">
        <v>95.38</v>
      </c>
      <c r="G533" s="103">
        <f>Table336789101112131415[[#This Row],[Sched C/ County/ State]]+0.3</f>
        <v>95.68</v>
      </c>
      <c r="H533" s="104"/>
      <c r="I533" s="101">
        <v>89.26</v>
      </c>
      <c r="J533" s="99">
        <f>Table336789101112131415[[#This Row],[Sched C/ County/ State]]-Table336789101112131415[[#This Row],[2025 Rate]]</f>
        <v>6.12</v>
      </c>
    </row>
    <row r="534" spans="1:10" x14ac:dyDescent="0.2">
      <c r="A534" s="93">
        <v>1901</v>
      </c>
      <c r="B534" s="94" t="s">
        <v>458</v>
      </c>
      <c r="C534" s="95">
        <v>2015</v>
      </c>
      <c r="D534" s="96" t="s">
        <v>205</v>
      </c>
      <c r="E534" s="96" t="s">
        <v>460</v>
      </c>
      <c r="F534" s="101">
        <v>95.38</v>
      </c>
      <c r="G534" s="103">
        <f>Table336789101112131415[[#This Row],[Sched C/ County/ State]]+0.3</f>
        <v>95.68</v>
      </c>
      <c r="H534" s="106"/>
      <c r="I534" s="101">
        <v>89.26</v>
      </c>
      <c r="J534" s="99">
        <f>Table336789101112131415[[#This Row],[Sched C/ County/ State]]-Table336789101112131415[[#This Row],[2025 Rate]]</f>
        <v>6.12</v>
      </c>
    </row>
    <row r="535" spans="1:10" x14ac:dyDescent="0.2">
      <c r="A535" s="93">
        <v>1902</v>
      </c>
      <c r="B535" s="94" t="s">
        <v>461</v>
      </c>
      <c r="C535" s="95">
        <v>2020</v>
      </c>
      <c r="D535" s="96" t="s">
        <v>204</v>
      </c>
      <c r="E535" s="96" t="s">
        <v>462</v>
      </c>
      <c r="F535" s="101">
        <v>95.38</v>
      </c>
      <c r="G535" s="103">
        <f>Table336789101112131415[[#This Row],[Sched C/ County/ State]]+0.3</f>
        <v>95.68</v>
      </c>
      <c r="H535" s="104"/>
      <c r="I535" s="101">
        <v>89.26</v>
      </c>
      <c r="J535" s="99">
        <f>Table336789101112131415[[#This Row],[Sched C/ County/ State]]-Table336789101112131415[[#This Row],[2025 Rate]]</f>
        <v>6.12</v>
      </c>
    </row>
    <row r="536" spans="1:10" x14ac:dyDescent="0.2">
      <c r="A536" s="93">
        <v>1981</v>
      </c>
      <c r="B536" s="96" t="s">
        <v>458</v>
      </c>
      <c r="C536" s="95">
        <v>2002</v>
      </c>
      <c r="D536" s="96" t="s">
        <v>377</v>
      </c>
      <c r="E536" s="96" t="s">
        <v>463</v>
      </c>
      <c r="F536" s="101">
        <v>95.38</v>
      </c>
      <c r="G536" s="103">
        <f>Table336789101112131415[[#This Row],[Sched C/ County/ State]]+0.3</f>
        <v>95.68</v>
      </c>
      <c r="H536" s="104"/>
      <c r="I536" s="101">
        <v>89.26</v>
      </c>
      <c r="J536" s="99">
        <f>Table336789101112131415[[#This Row],[Sched C/ County/ State]]-Table336789101112131415[[#This Row],[2025 Rate]]</f>
        <v>6.12</v>
      </c>
    </row>
    <row r="537" spans="1:10" x14ac:dyDescent="0.2">
      <c r="A537" s="93">
        <v>1988</v>
      </c>
      <c r="B537" s="96" t="s">
        <v>458</v>
      </c>
      <c r="C537" s="95">
        <v>2003</v>
      </c>
      <c r="D537" s="96" t="s">
        <v>205</v>
      </c>
      <c r="E537" s="96" t="s">
        <v>463</v>
      </c>
      <c r="F537" s="101">
        <v>95.38</v>
      </c>
      <c r="G537" s="103">
        <f>Table336789101112131415[[#This Row],[Sched C/ County/ State]]+0.3</f>
        <v>95.68</v>
      </c>
      <c r="H537" s="104"/>
      <c r="I537" s="101">
        <v>89.26</v>
      </c>
      <c r="J537" s="99">
        <f>Table336789101112131415[[#This Row],[Sched C/ County/ State]]-Table336789101112131415[[#This Row],[2025 Rate]]</f>
        <v>6.12</v>
      </c>
    </row>
    <row r="538" spans="1:10" x14ac:dyDescent="0.2">
      <c r="A538" s="93">
        <v>1989</v>
      </c>
      <c r="B538" s="96" t="s">
        <v>458</v>
      </c>
      <c r="C538" s="95">
        <v>2003</v>
      </c>
      <c r="D538" s="96" t="s">
        <v>464</v>
      </c>
      <c r="E538" s="96" t="s">
        <v>463</v>
      </c>
      <c r="F538" s="101">
        <v>95.38</v>
      </c>
      <c r="G538" s="103">
        <f>Table336789101112131415[[#This Row],[Sched C/ County/ State]]+0.3</f>
        <v>95.68</v>
      </c>
      <c r="H538" s="104"/>
      <c r="I538" s="101">
        <v>89.26</v>
      </c>
      <c r="J538" s="99">
        <f>Table336789101112131415[[#This Row],[Sched C/ County/ State]]-Table336789101112131415[[#This Row],[2025 Rate]]</f>
        <v>6.12</v>
      </c>
    </row>
    <row r="539" spans="1:10" x14ac:dyDescent="0.2">
      <c r="A539" s="93">
        <v>1990</v>
      </c>
      <c r="B539" s="96" t="s">
        <v>458</v>
      </c>
      <c r="C539" s="95">
        <v>2003</v>
      </c>
      <c r="D539" s="96" t="s">
        <v>205</v>
      </c>
      <c r="E539" s="96" t="s">
        <v>463</v>
      </c>
      <c r="F539" s="101">
        <v>95.38</v>
      </c>
      <c r="G539" s="103">
        <f>Table336789101112131415[[#This Row],[Sched C/ County/ State]]+0.3</f>
        <v>95.68</v>
      </c>
      <c r="H539" s="104"/>
      <c r="I539" s="101">
        <v>89.26</v>
      </c>
      <c r="J539" s="99">
        <f>Table336789101112131415[[#This Row],[Sched C/ County/ State]]-Table336789101112131415[[#This Row],[2025 Rate]]</f>
        <v>6.12</v>
      </c>
    </row>
    <row r="540" spans="1:10" x14ac:dyDescent="0.2">
      <c r="A540" s="93">
        <v>1991</v>
      </c>
      <c r="B540" s="96" t="s">
        <v>458</v>
      </c>
      <c r="C540" s="95">
        <v>2005</v>
      </c>
      <c r="D540" s="96" t="s">
        <v>205</v>
      </c>
      <c r="E540" s="96" t="s">
        <v>463</v>
      </c>
      <c r="F540" s="101">
        <v>95.38</v>
      </c>
      <c r="G540" s="103">
        <f>Table336789101112131415[[#This Row],[Sched C/ County/ State]]+0.3</f>
        <v>95.68</v>
      </c>
      <c r="H540" s="104"/>
      <c r="I540" s="101">
        <v>89.26</v>
      </c>
      <c r="J540" s="99">
        <f>Table336789101112131415[[#This Row],[Sched C/ County/ State]]-Table336789101112131415[[#This Row],[2025 Rate]]</f>
        <v>6.12</v>
      </c>
    </row>
    <row r="541" spans="1:10" x14ac:dyDescent="0.2">
      <c r="A541" s="93">
        <v>1992</v>
      </c>
      <c r="B541" s="96" t="s">
        <v>458</v>
      </c>
      <c r="C541" s="95">
        <v>2006</v>
      </c>
      <c r="D541" s="96" t="s">
        <v>205</v>
      </c>
      <c r="E541" s="96" t="s">
        <v>463</v>
      </c>
      <c r="F541" s="101">
        <v>95.38</v>
      </c>
      <c r="G541" s="103">
        <f>Table336789101112131415[[#This Row],[Sched C/ County/ State]]+0.3</f>
        <v>95.68</v>
      </c>
      <c r="H541" s="104"/>
      <c r="I541" s="101">
        <v>89.26</v>
      </c>
      <c r="J541" s="99">
        <f>Table336789101112131415[[#This Row],[Sched C/ County/ State]]-Table336789101112131415[[#This Row],[2025 Rate]]</f>
        <v>6.12</v>
      </c>
    </row>
    <row r="542" spans="1:10" x14ac:dyDescent="0.2">
      <c r="A542" s="93">
        <v>1994</v>
      </c>
      <c r="B542" s="96" t="s">
        <v>458</v>
      </c>
      <c r="C542" s="95">
        <v>2009</v>
      </c>
      <c r="D542" s="96" t="s">
        <v>205</v>
      </c>
      <c r="E542" s="96" t="s">
        <v>465</v>
      </c>
      <c r="F542" s="101">
        <v>95.38</v>
      </c>
      <c r="G542" s="103">
        <f>Table336789101112131415[[#This Row],[Sched C/ County/ State]]+0.3</f>
        <v>95.68</v>
      </c>
      <c r="H542" s="104"/>
      <c r="I542" s="101">
        <v>89.26</v>
      </c>
      <c r="J542" s="99">
        <f>Table336789101112131415[[#This Row],[Sched C/ County/ State]]-Table336789101112131415[[#This Row],[2025 Rate]]</f>
        <v>6.12</v>
      </c>
    </row>
    <row r="543" spans="1:10" x14ac:dyDescent="0.2">
      <c r="A543" s="93">
        <v>1995</v>
      </c>
      <c r="B543" s="96" t="s">
        <v>458</v>
      </c>
      <c r="C543" s="95">
        <v>2009</v>
      </c>
      <c r="D543" s="96" t="s">
        <v>205</v>
      </c>
      <c r="E543" s="96" t="s">
        <v>465</v>
      </c>
      <c r="F543" s="101">
        <v>95.38</v>
      </c>
      <c r="G543" s="103">
        <f>Table336789101112131415[[#This Row],[Sched C/ County/ State]]+0.3</f>
        <v>95.68</v>
      </c>
      <c r="H543" s="104"/>
      <c r="I543" s="101">
        <v>89.26</v>
      </c>
      <c r="J543" s="99">
        <f>Table336789101112131415[[#This Row],[Sched C/ County/ State]]-Table336789101112131415[[#This Row],[2025 Rate]]</f>
        <v>6.12</v>
      </c>
    </row>
    <row r="544" spans="1:10" x14ac:dyDescent="0.2">
      <c r="A544" s="93">
        <v>1996</v>
      </c>
      <c r="B544" s="96" t="s">
        <v>458</v>
      </c>
      <c r="C544" s="95">
        <v>2010</v>
      </c>
      <c r="D544" s="96" t="s">
        <v>205</v>
      </c>
      <c r="E544" s="96" t="s">
        <v>465</v>
      </c>
      <c r="F544" s="101">
        <v>95.38</v>
      </c>
      <c r="G544" s="103">
        <f>Table336789101112131415[[#This Row],[Sched C/ County/ State]]+0.3</f>
        <v>95.68</v>
      </c>
      <c r="H544" s="104"/>
      <c r="I544" s="101">
        <v>89.26</v>
      </c>
      <c r="J544" s="99">
        <f>Table336789101112131415[[#This Row],[Sched C/ County/ State]]-Table336789101112131415[[#This Row],[2025 Rate]]</f>
        <v>6.12</v>
      </c>
    </row>
    <row r="545" spans="1:10" x14ac:dyDescent="0.2">
      <c r="A545" s="93">
        <v>1997</v>
      </c>
      <c r="B545" s="96" t="s">
        <v>458</v>
      </c>
      <c r="C545" s="95">
        <v>2012</v>
      </c>
      <c r="D545" s="96" t="s">
        <v>205</v>
      </c>
      <c r="E545" s="96" t="s">
        <v>465</v>
      </c>
      <c r="F545" s="101">
        <v>95.38</v>
      </c>
      <c r="G545" s="103">
        <f>Table336789101112131415[[#This Row],[Sched C/ County/ State]]+0.3</f>
        <v>95.68</v>
      </c>
      <c r="H545" s="104"/>
      <c r="I545" s="101">
        <v>89.26</v>
      </c>
      <c r="J545" s="99">
        <f>Table336789101112131415[[#This Row],[Sched C/ County/ State]]-Table336789101112131415[[#This Row],[2025 Rate]]</f>
        <v>6.12</v>
      </c>
    </row>
    <row r="546" spans="1:10" x14ac:dyDescent="0.2">
      <c r="A546" s="93">
        <v>1998</v>
      </c>
      <c r="B546" s="96" t="s">
        <v>458</v>
      </c>
      <c r="C546" s="95">
        <v>2013</v>
      </c>
      <c r="D546" s="96" t="s">
        <v>205</v>
      </c>
      <c r="E546" s="96" t="s">
        <v>466</v>
      </c>
      <c r="F546" s="101">
        <v>95.38</v>
      </c>
      <c r="G546" s="103">
        <f>Table336789101112131415[[#This Row],[Sched C/ County/ State]]+0.3</f>
        <v>95.68</v>
      </c>
      <c r="H546" s="104"/>
      <c r="I546" s="101">
        <v>89.26</v>
      </c>
      <c r="J546" s="99">
        <f>Table336789101112131415[[#This Row],[Sched C/ County/ State]]-Table336789101112131415[[#This Row],[2025 Rate]]</f>
        <v>6.12</v>
      </c>
    </row>
    <row r="547" spans="1:10" x14ac:dyDescent="0.2">
      <c r="A547" s="93">
        <v>1999</v>
      </c>
      <c r="B547" s="96" t="s">
        <v>458</v>
      </c>
      <c r="C547" s="95">
        <v>2014</v>
      </c>
      <c r="D547" s="96" t="s">
        <v>205</v>
      </c>
      <c r="E547" s="96" t="s">
        <v>466</v>
      </c>
      <c r="F547" s="101">
        <v>95.38</v>
      </c>
      <c r="G547" s="103">
        <f>Table336789101112131415[[#This Row],[Sched C/ County/ State]]+0.3</f>
        <v>95.68</v>
      </c>
      <c r="H547" s="104"/>
      <c r="I547" s="101">
        <v>89.26</v>
      </c>
      <c r="J547" s="99">
        <f>Table336789101112131415[[#This Row],[Sched C/ County/ State]]-Table336789101112131415[[#This Row],[2025 Rate]]</f>
        <v>6.12</v>
      </c>
    </row>
    <row r="548" spans="1:10" x14ac:dyDescent="0.2">
      <c r="A548" s="93">
        <v>2009</v>
      </c>
      <c r="B548" s="94" t="s">
        <v>467</v>
      </c>
      <c r="C548" s="95">
        <v>2017</v>
      </c>
      <c r="D548" s="96" t="s">
        <v>468</v>
      </c>
      <c r="E548" s="96" t="s">
        <v>467</v>
      </c>
      <c r="F548" s="101">
        <v>47.75</v>
      </c>
      <c r="G548" s="103"/>
      <c r="H548" s="104"/>
      <c r="I548" s="101">
        <v>44.68</v>
      </c>
      <c r="J548" s="99">
        <f>Table336789101112131415[[#This Row],[Sched C/ County/ State]]-Table336789101112131415[[#This Row],[2025 Rate]]</f>
        <v>3.07</v>
      </c>
    </row>
    <row r="549" spans="1:10" x14ac:dyDescent="0.2">
      <c r="A549" s="93">
        <v>2011</v>
      </c>
      <c r="B549" s="96" t="s">
        <v>469</v>
      </c>
      <c r="C549" s="95">
        <v>2020</v>
      </c>
      <c r="D549" s="96" t="s">
        <v>470</v>
      </c>
      <c r="E549" s="96" t="s">
        <v>471</v>
      </c>
      <c r="F549" s="101">
        <v>47.75</v>
      </c>
      <c r="G549" s="103"/>
      <c r="H549" s="104"/>
      <c r="I549" s="101">
        <v>44.68</v>
      </c>
      <c r="J549" s="99">
        <f>Table336789101112131415[[#This Row],[Sched C/ County/ State]]-Table336789101112131415[[#This Row],[2025 Rate]]</f>
        <v>3.07</v>
      </c>
    </row>
    <row r="550" spans="1:10" x14ac:dyDescent="0.2">
      <c r="A550" s="93">
        <v>2035</v>
      </c>
      <c r="B550" s="96" t="s">
        <v>472</v>
      </c>
      <c r="C550" s="95">
        <v>2014</v>
      </c>
      <c r="D550" s="96" t="s">
        <v>205</v>
      </c>
      <c r="F550" s="101">
        <v>2.59</v>
      </c>
      <c r="G550" s="103"/>
      <c r="H550" s="104"/>
      <c r="I550" s="101">
        <v>2.42</v>
      </c>
      <c r="J550" s="99">
        <f>Table336789101112131415[[#This Row],[Sched C/ County/ State]]-Table336789101112131415[[#This Row],[2025 Rate]]</f>
        <v>0.17</v>
      </c>
    </row>
    <row r="551" spans="1:10" ht="30" x14ac:dyDescent="0.2">
      <c r="A551" s="93">
        <v>2036</v>
      </c>
      <c r="B551" s="94" t="s">
        <v>473</v>
      </c>
      <c r="C551" s="95">
        <v>2019</v>
      </c>
      <c r="D551" s="96" t="s">
        <v>128</v>
      </c>
      <c r="E551" s="96" t="s">
        <v>439</v>
      </c>
      <c r="F551" s="101">
        <v>47.75</v>
      </c>
      <c r="G551" s="103"/>
      <c r="H551" s="104"/>
      <c r="I551" s="101">
        <v>44.68</v>
      </c>
      <c r="J551" s="99">
        <f>Table336789101112131415[[#This Row],[Sched C/ County/ State]]-Table336789101112131415[[#This Row],[2025 Rate]]</f>
        <v>3.07</v>
      </c>
    </row>
    <row r="552" spans="1:10" ht="30" x14ac:dyDescent="0.2">
      <c r="A552" s="93">
        <v>2037</v>
      </c>
      <c r="B552" s="94" t="s">
        <v>473</v>
      </c>
      <c r="C552" s="95">
        <v>2019</v>
      </c>
      <c r="D552" s="96" t="s">
        <v>128</v>
      </c>
      <c r="E552" s="96" t="s">
        <v>439</v>
      </c>
      <c r="F552" s="101">
        <v>47.75</v>
      </c>
      <c r="G552" s="103"/>
      <c r="H552" s="104"/>
      <c r="I552" s="101">
        <v>44.68</v>
      </c>
      <c r="J552" s="99">
        <f>Table336789101112131415[[#This Row],[Sched C/ County/ State]]-Table336789101112131415[[#This Row],[2025 Rate]]</f>
        <v>3.07</v>
      </c>
    </row>
    <row r="553" spans="1:10" ht="30" x14ac:dyDescent="0.2">
      <c r="A553" s="93">
        <v>2038</v>
      </c>
      <c r="B553" s="94" t="s">
        <v>473</v>
      </c>
      <c r="C553" s="95">
        <v>2019</v>
      </c>
      <c r="D553" s="96" t="s">
        <v>128</v>
      </c>
      <c r="E553" s="96" t="s">
        <v>439</v>
      </c>
      <c r="F553" s="101">
        <v>47.75</v>
      </c>
      <c r="G553" s="103"/>
      <c r="H553" s="104"/>
      <c r="I553" s="101">
        <v>44.68</v>
      </c>
      <c r="J553" s="99">
        <f>Table336789101112131415[[#This Row],[Sched C/ County/ State]]-Table336789101112131415[[#This Row],[2025 Rate]]</f>
        <v>3.07</v>
      </c>
    </row>
    <row r="554" spans="1:10" ht="30" x14ac:dyDescent="0.2">
      <c r="A554" s="93">
        <v>2039</v>
      </c>
      <c r="B554" s="94" t="s">
        <v>473</v>
      </c>
      <c r="C554" s="95">
        <v>2019</v>
      </c>
      <c r="D554" s="96" t="s">
        <v>128</v>
      </c>
      <c r="E554" s="96" t="s">
        <v>439</v>
      </c>
      <c r="F554" s="101">
        <v>47.75</v>
      </c>
      <c r="G554" s="103"/>
      <c r="H554" s="104"/>
      <c r="I554" s="101">
        <v>44.68</v>
      </c>
      <c r="J554" s="99">
        <f>Table336789101112131415[[#This Row],[Sched C/ County/ State]]-Table336789101112131415[[#This Row],[2025 Rate]]</f>
        <v>3.07</v>
      </c>
    </row>
    <row r="555" spans="1:10" ht="30" x14ac:dyDescent="0.2">
      <c r="A555" s="93">
        <v>2040</v>
      </c>
      <c r="B555" s="94" t="s">
        <v>473</v>
      </c>
      <c r="C555" s="95">
        <v>2020</v>
      </c>
      <c r="D555" s="96" t="s">
        <v>128</v>
      </c>
      <c r="E555" s="96" t="s">
        <v>439</v>
      </c>
      <c r="F555" s="101">
        <v>47.75</v>
      </c>
      <c r="G555" s="103"/>
      <c r="H555" s="104"/>
      <c r="I555" s="101">
        <v>44.68</v>
      </c>
      <c r="J555" s="99">
        <f>Table336789101112131415[[#This Row],[Sched C/ County/ State]]-Table336789101112131415[[#This Row],[2025 Rate]]</f>
        <v>3.07</v>
      </c>
    </row>
    <row r="556" spans="1:10" ht="30" x14ac:dyDescent="0.2">
      <c r="A556" s="93">
        <v>2041</v>
      </c>
      <c r="B556" s="94" t="s">
        <v>473</v>
      </c>
      <c r="C556" s="95">
        <v>2022</v>
      </c>
      <c r="D556" s="96" t="s">
        <v>128</v>
      </c>
      <c r="E556" s="96" t="s">
        <v>439</v>
      </c>
      <c r="F556" s="101">
        <v>47.75</v>
      </c>
      <c r="G556" s="105"/>
      <c r="H556" s="104"/>
      <c r="I556" s="101">
        <v>44.68</v>
      </c>
      <c r="J556" s="99">
        <f>Table336789101112131415[[#This Row],[Sched C/ County/ State]]-Table336789101112131415[[#This Row],[2025 Rate]]</f>
        <v>3.07</v>
      </c>
    </row>
    <row r="557" spans="1:10" ht="30" x14ac:dyDescent="0.2">
      <c r="A557" s="93">
        <v>2042</v>
      </c>
      <c r="B557" s="94" t="s">
        <v>473</v>
      </c>
      <c r="C557" s="95">
        <v>2024</v>
      </c>
      <c r="D557" s="96" t="s">
        <v>128</v>
      </c>
      <c r="E557" s="96" t="s">
        <v>439</v>
      </c>
      <c r="F557" s="101">
        <v>47.75</v>
      </c>
      <c r="G557" s="105"/>
      <c r="H557" s="104"/>
      <c r="I557" s="101">
        <v>44.68</v>
      </c>
      <c r="J557" s="99">
        <f>Table336789101112131415[[#This Row],[Sched C/ County/ State]]-Table336789101112131415[[#This Row],[2025 Rate]]</f>
        <v>3.07</v>
      </c>
    </row>
    <row r="558" spans="1:10" ht="30" x14ac:dyDescent="0.2">
      <c r="A558" s="93">
        <v>2043</v>
      </c>
      <c r="B558" s="94" t="s">
        <v>473</v>
      </c>
      <c r="C558" s="95">
        <v>2024</v>
      </c>
      <c r="D558" s="96" t="s">
        <v>128</v>
      </c>
      <c r="E558" s="96" t="s">
        <v>439</v>
      </c>
      <c r="F558" s="101">
        <v>47.75</v>
      </c>
      <c r="G558" s="105"/>
      <c r="H558" s="104"/>
      <c r="I558" s="101">
        <v>44.68</v>
      </c>
      <c r="J558" s="99">
        <f>Table336789101112131415[[#This Row],[Sched C/ County/ State]]-Table336789101112131415[[#This Row],[2025 Rate]]</f>
        <v>3.07</v>
      </c>
    </row>
    <row r="559" spans="1:10" x14ac:dyDescent="0.2">
      <c r="A559" s="93">
        <v>2046</v>
      </c>
      <c r="B559" s="94" t="s">
        <v>187</v>
      </c>
      <c r="C559" s="95">
        <v>2020</v>
      </c>
      <c r="D559" s="96" t="s">
        <v>188</v>
      </c>
      <c r="F559" s="101">
        <v>3.05</v>
      </c>
      <c r="G559" s="103"/>
      <c r="H559" s="104"/>
      <c r="I559" s="101">
        <v>2.85</v>
      </c>
      <c r="J559" s="99">
        <f>Table336789101112131415[[#This Row],[Sched C/ County/ State]]-Table336789101112131415[[#This Row],[2025 Rate]]</f>
        <v>0.2</v>
      </c>
    </row>
    <row r="560" spans="1:10" ht="30" x14ac:dyDescent="0.2">
      <c r="A560" s="93">
        <v>2047</v>
      </c>
      <c r="B560" s="96" t="s">
        <v>474</v>
      </c>
      <c r="C560" s="95">
        <v>2012</v>
      </c>
      <c r="D560" s="96" t="s">
        <v>170</v>
      </c>
      <c r="E560" s="115" t="s">
        <v>475</v>
      </c>
      <c r="F560" s="101">
        <v>3.05</v>
      </c>
      <c r="G560" s="103"/>
      <c r="H560" s="104"/>
      <c r="I560" s="101">
        <v>2.85</v>
      </c>
      <c r="J560" s="99">
        <f>Table336789101112131415[[#This Row],[Sched C/ County/ State]]-Table336789101112131415[[#This Row],[2025 Rate]]</f>
        <v>0.2</v>
      </c>
    </row>
    <row r="561" spans="1:10" ht="30" x14ac:dyDescent="0.2">
      <c r="A561" s="93">
        <v>2048</v>
      </c>
      <c r="B561" s="96" t="s">
        <v>474</v>
      </c>
      <c r="C561" s="95">
        <v>2012</v>
      </c>
      <c r="D561" s="96" t="s">
        <v>170</v>
      </c>
      <c r="E561" s="115" t="s">
        <v>475</v>
      </c>
      <c r="F561" s="101">
        <v>3.05</v>
      </c>
      <c r="G561" s="103"/>
      <c r="H561" s="104"/>
      <c r="I561" s="101">
        <v>2.85</v>
      </c>
      <c r="J561" s="99">
        <f>Table336789101112131415[[#This Row],[Sched C/ County/ State]]-Table336789101112131415[[#This Row],[2025 Rate]]</f>
        <v>0.2</v>
      </c>
    </row>
    <row r="562" spans="1:10" ht="30" x14ac:dyDescent="0.2">
      <c r="A562" s="93">
        <v>2049</v>
      </c>
      <c r="B562" s="96" t="s">
        <v>474</v>
      </c>
      <c r="C562" s="95">
        <v>2012</v>
      </c>
      <c r="D562" s="96" t="s">
        <v>476</v>
      </c>
      <c r="E562" s="115" t="s">
        <v>475</v>
      </c>
      <c r="F562" s="101">
        <v>3.05</v>
      </c>
      <c r="G562" s="103"/>
      <c r="H562" s="104"/>
      <c r="I562" s="101">
        <v>2.85</v>
      </c>
      <c r="J562" s="99">
        <f>Table336789101112131415[[#This Row],[Sched C/ County/ State]]-Table336789101112131415[[#This Row],[2025 Rate]]</f>
        <v>0.2</v>
      </c>
    </row>
    <row r="563" spans="1:10" ht="30" x14ac:dyDescent="0.2">
      <c r="A563" s="93">
        <v>2050</v>
      </c>
      <c r="B563" s="96" t="s">
        <v>474</v>
      </c>
      <c r="C563" s="95">
        <v>2012</v>
      </c>
      <c r="D563" s="96" t="s">
        <v>170</v>
      </c>
      <c r="E563" s="115" t="s">
        <v>475</v>
      </c>
      <c r="F563" s="101">
        <v>3.05</v>
      </c>
      <c r="G563" s="103"/>
      <c r="H563" s="104"/>
      <c r="I563" s="101">
        <v>2.85</v>
      </c>
      <c r="J563" s="99">
        <f>Table336789101112131415[[#This Row],[Sched C/ County/ State]]-Table336789101112131415[[#This Row],[2025 Rate]]</f>
        <v>0.2</v>
      </c>
    </row>
    <row r="564" spans="1:10" ht="30" x14ac:dyDescent="0.2">
      <c r="A564" s="93">
        <v>2054</v>
      </c>
      <c r="B564" s="96" t="s">
        <v>474</v>
      </c>
      <c r="C564" s="95">
        <v>2013</v>
      </c>
      <c r="D564" s="96" t="s">
        <v>170</v>
      </c>
      <c r="E564" s="115" t="s">
        <v>475</v>
      </c>
      <c r="F564" s="101">
        <v>3.05</v>
      </c>
      <c r="G564" s="103"/>
      <c r="H564" s="104"/>
      <c r="I564" s="101">
        <v>2.85</v>
      </c>
      <c r="J564" s="99">
        <f>Table336789101112131415[[#This Row],[Sched C/ County/ State]]-Table336789101112131415[[#This Row],[2025 Rate]]</f>
        <v>0.2</v>
      </c>
    </row>
    <row r="565" spans="1:10" ht="30" x14ac:dyDescent="0.2">
      <c r="A565" s="93">
        <v>2055</v>
      </c>
      <c r="B565" s="96" t="s">
        <v>474</v>
      </c>
      <c r="C565" s="95">
        <v>2013</v>
      </c>
      <c r="D565" s="96" t="s">
        <v>170</v>
      </c>
      <c r="E565" s="115" t="s">
        <v>475</v>
      </c>
      <c r="F565" s="101">
        <v>3.05</v>
      </c>
      <c r="G565" s="103"/>
      <c r="H565" s="104"/>
      <c r="I565" s="101">
        <v>2.85</v>
      </c>
      <c r="J565" s="99">
        <f>Table336789101112131415[[#This Row],[Sched C/ County/ State]]-Table336789101112131415[[#This Row],[2025 Rate]]</f>
        <v>0.2</v>
      </c>
    </row>
    <row r="566" spans="1:10" ht="30" x14ac:dyDescent="0.2">
      <c r="A566" s="93">
        <v>2056</v>
      </c>
      <c r="B566" s="96" t="s">
        <v>474</v>
      </c>
      <c r="C566" s="95">
        <v>2013</v>
      </c>
      <c r="D566" s="96" t="s">
        <v>170</v>
      </c>
      <c r="E566" s="115" t="s">
        <v>475</v>
      </c>
      <c r="F566" s="101">
        <v>3.05</v>
      </c>
      <c r="G566" s="103"/>
      <c r="H566" s="104"/>
      <c r="I566" s="101">
        <v>2.85</v>
      </c>
      <c r="J566" s="99">
        <f>Table336789101112131415[[#This Row],[Sched C/ County/ State]]-Table336789101112131415[[#This Row],[2025 Rate]]</f>
        <v>0.2</v>
      </c>
    </row>
    <row r="567" spans="1:10" ht="30" x14ac:dyDescent="0.2">
      <c r="A567" s="93">
        <v>2058</v>
      </c>
      <c r="B567" s="96" t="s">
        <v>474</v>
      </c>
      <c r="C567" s="95">
        <v>2014</v>
      </c>
      <c r="D567" s="96" t="s">
        <v>170</v>
      </c>
      <c r="E567" s="115" t="s">
        <v>475</v>
      </c>
      <c r="F567" s="101">
        <v>3.05</v>
      </c>
      <c r="G567" s="103"/>
      <c r="H567" s="104"/>
      <c r="I567" s="101">
        <v>2.85</v>
      </c>
      <c r="J567" s="99">
        <f>Table336789101112131415[[#This Row],[Sched C/ County/ State]]-Table336789101112131415[[#This Row],[2025 Rate]]</f>
        <v>0.2</v>
      </c>
    </row>
    <row r="568" spans="1:10" ht="30" x14ac:dyDescent="0.2">
      <c r="A568" s="93">
        <v>2059</v>
      </c>
      <c r="B568" s="96" t="s">
        <v>474</v>
      </c>
      <c r="C568" s="95">
        <v>2014</v>
      </c>
      <c r="D568" s="96" t="s">
        <v>170</v>
      </c>
      <c r="E568" s="115" t="s">
        <v>475</v>
      </c>
      <c r="F568" s="101">
        <v>3.05</v>
      </c>
      <c r="G568" s="103"/>
      <c r="H568" s="104"/>
      <c r="I568" s="101">
        <v>2.85</v>
      </c>
      <c r="J568" s="99">
        <f>Table336789101112131415[[#This Row],[Sched C/ County/ State]]-Table336789101112131415[[#This Row],[2025 Rate]]</f>
        <v>0.2</v>
      </c>
    </row>
    <row r="569" spans="1:10" ht="30" x14ac:dyDescent="0.2">
      <c r="A569" s="93">
        <v>2060</v>
      </c>
      <c r="B569" s="96" t="s">
        <v>474</v>
      </c>
      <c r="C569" s="95">
        <v>2014</v>
      </c>
      <c r="D569" s="96" t="s">
        <v>170</v>
      </c>
      <c r="E569" s="115" t="s">
        <v>475</v>
      </c>
      <c r="F569" s="101">
        <v>3.05</v>
      </c>
      <c r="G569" s="103"/>
      <c r="H569" s="104"/>
      <c r="I569" s="101">
        <v>2.85</v>
      </c>
      <c r="J569" s="99">
        <f>Table336789101112131415[[#This Row],[Sched C/ County/ State]]-Table336789101112131415[[#This Row],[2025 Rate]]</f>
        <v>0.2</v>
      </c>
    </row>
    <row r="570" spans="1:10" ht="30" x14ac:dyDescent="0.2">
      <c r="A570" s="93">
        <v>2061</v>
      </c>
      <c r="B570" s="96" t="s">
        <v>474</v>
      </c>
      <c r="C570" s="95">
        <v>2014</v>
      </c>
      <c r="D570" s="96" t="s">
        <v>170</v>
      </c>
      <c r="E570" s="115" t="s">
        <v>475</v>
      </c>
      <c r="F570" s="101">
        <v>3.05</v>
      </c>
      <c r="G570" s="103"/>
      <c r="H570" s="104"/>
      <c r="I570" s="101">
        <v>2.85</v>
      </c>
      <c r="J570" s="99">
        <f>Table336789101112131415[[#This Row],[Sched C/ County/ State]]-Table336789101112131415[[#This Row],[2025 Rate]]</f>
        <v>0.2</v>
      </c>
    </row>
    <row r="571" spans="1:10" ht="30" x14ac:dyDescent="0.2">
      <c r="A571" s="93">
        <v>2062</v>
      </c>
      <c r="B571" s="94" t="s">
        <v>474</v>
      </c>
      <c r="C571" s="95">
        <v>2016</v>
      </c>
      <c r="D571" s="96" t="s">
        <v>170</v>
      </c>
      <c r="E571" s="115" t="s">
        <v>475</v>
      </c>
      <c r="F571" s="101">
        <v>3.05</v>
      </c>
      <c r="G571" s="105"/>
      <c r="H571" s="106"/>
      <c r="I571" s="101">
        <v>2.85</v>
      </c>
      <c r="J571" s="99">
        <f>Table336789101112131415[[#This Row],[Sched C/ County/ State]]-Table336789101112131415[[#This Row],[2025 Rate]]</f>
        <v>0.2</v>
      </c>
    </row>
    <row r="572" spans="1:10" ht="30" x14ac:dyDescent="0.2">
      <c r="A572" s="93">
        <v>2065</v>
      </c>
      <c r="B572" s="94" t="s">
        <v>474</v>
      </c>
      <c r="C572" s="95">
        <v>2016</v>
      </c>
      <c r="D572" s="96" t="s">
        <v>170</v>
      </c>
      <c r="E572" s="115" t="s">
        <v>475</v>
      </c>
      <c r="F572" s="101">
        <v>3.05</v>
      </c>
      <c r="G572" s="105"/>
      <c r="H572" s="106"/>
      <c r="I572" s="101">
        <v>2.85</v>
      </c>
      <c r="J572" s="99">
        <f>Table336789101112131415[[#This Row],[Sched C/ County/ State]]-Table336789101112131415[[#This Row],[2025 Rate]]</f>
        <v>0.2</v>
      </c>
    </row>
    <row r="573" spans="1:10" ht="30" x14ac:dyDescent="0.2">
      <c r="A573" s="93">
        <v>2066</v>
      </c>
      <c r="B573" s="94" t="s">
        <v>474</v>
      </c>
      <c r="C573" s="95">
        <v>2016</v>
      </c>
      <c r="D573" s="96" t="s">
        <v>170</v>
      </c>
      <c r="E573" s="115" t="s">
        <v>475</v>
      </c>
      <c r="F573" s="101">
        <v>3.05</v>
      </c>
      <c r="G573" s="105"/>
      <c r="H573" s="106"/>
      <c r="I573" s="101">
        <v>2.85</v>
      </c>
      <c r="J573" s="99">
        <f>Table336789101112131415[[#This Row],[Sched C/ County/ State]]-Table336789101112131415[[#This Row],[2025 Rate]]</f>
        <v>0.2</v>
      </c>
    </row>
    <row r="574" spans="1:10" ht="30" x14ac:dyDescent="0.2">
      <c r="A574" s="93">
        <v>2070</v>
      </c>
      <c r="B574" s="94" t="s">
        <v>477</v>
      </c>
      <c r="C574" s="95">
        <v>2023</v>
      </c>
      <c r="D574" s="96" t="s">
        <v>478</v>
      </c>
      <c r="E574" s="96" t="s">
        <v>479</v>
      </c>
      <c r="F574" s="101">
        <v>1.63</v>
      </c>
      <c r="G574" s="105"/>
      <c r="H574" s="104"/>
      <c r="I574" s="101">
        <v>1.51</v>
      </c>
      <c r="J574" s="99">
        <f>Table336789101112131415[[#This Row],[Sched C/ County/ State]]-Table336789101112131415[[#This Row],[2025 Rate]]</f>
        <v>0.12</v>
      </c>
    </row>
    <row r="575" spans="1:10" x14ac:dyDescent="0.2">
      <c r="A575" s="93">
        <v>2071</v>
      </c>
      <c r="B575" s="94" t="s">
        <v>187</v>
      </c>
      <c r="C575" s="95">
        <v>2020</v>
      </c>
      <c r="D575" s="96" t="s">
        <v>188</v>
      </c>
      <c r="F575" s="101">
        <v>3.05</v>
      </c>
      <c r="G575" s="103"/>
      <c r="H575" s="104"/>
      <c r="I575" s="101">
        <v>2.85</v>
      </c>
      <c r="J575" s="99">
        <f>Table336789101112131415[[#This Row],[Sched C/ County/ State]]-Table336789101112131415[[#This Row],[2025 Rate]]</f>
        <v>0.2</v>
      </c>
    </row>
    <row r="576" spans="1:10" x14ac:dyDescent="0.2">
      <c r="A576" s="93">
        <v>2072</v>
      </c>
      <c r="B576" s="94" t="s">
        <v>187</v>
      </c>
      <c r="C576" s="95">
        <v>2020</v>
      </c>
      <c r="D576" s="96" t="s">
        <v>188</v>
      </c>
      <c r="F576" s="101">
        <v>3.05</v>
      </c>
      <c r="G576" s="103"/>
      <c r="H576" s="104"/>
      <c r="I576" s="101">
        <v>2.85</v>
      </c>
      <c r="J576" s="99">
        <f>Table336789101112131415[[#This Row],[Sched C/ County/ State]]-Table336789101112131415[[#This Row],[2025 Rate]]</f>
        <v>0.2</v>
      </c>
    </row>
    <row r="577" spans="1:10" x14ac:dyDescent="0.2">
      <c r="A577" s="93">
        <v>2073</v>
      </c>
      <c r="B577" s="94" t="s">
        <v>187</v>
      </c>
      <c r="C577" s="95">
        <v>2020</v>
      </c>
      <c r="D577" s="96" t="s">
        <v>188</v>
      </c>
      <c r="F577" s="101">
        <v>3.05</v>
      </c>
      <c r="G577" s="103"/>
      <c r="H577" s="104"/>
      <c r="I577" s="101">
        <v>2.85</v>
      </c>
      <c r="J577" s="99">
        <f>Table336789101112131415[[#This Row],[Sched C/ County/ State]]-Table336789101112131415[[#This Row],[2025 Rate]]</f>
        <v>0.2</v>
      </c>
    </row>
    <row r="578" spans="1:10" x14ac:dyDescent="0.2">
      <c r="A578" s="93">
        <v>2074</v>
      </c>
      <c r="B578" s="94" t="s">
        <v>480</v>
      </c>
      <c r="C578" s="95">
        <v>2018</v>
      </c>
      <c r="D578" s="96" t="s">
        <v>481</v>
      </c>
      <c r="E578" s="96" t="s">
        <v>482</v>
      </c>
      <c r="F578" s="101">
        <v>8.11</v>
      </c>
      <c r="G578" s="103"/>
      <c r="H578" s="104"/>
      <c r="I578" s="101">
        <v>7.59</v>
      </c>
      <c r="J578" s="99">
        <f>Table336789101112131415[[#This Row],[Sched C/ County/ State]]-Table336789101112131415[[#This Row],[2025 Rate]]</f>
        <v>0.52</v>
      </c>
    </row>
    <row r="579" spans="1:10" x14ac:dyDescent="0.2">
      <c r="A579" s="93">
        <v>2075</v>
      </c>
      <c r="B579" s="94" t="s">
        <v>480</v>
      </c>
      <c r="C579" s="95">
        <v>2018</v>
      </c>
      <c r="D579" s="96" t="s">
        <v>481</v>
      </c>
      <c r="E579" s="96" t="s">
        <v>482</v>
      </c>
      <c r="F579" s="101">
        <v>8.11</v>
      </c>
      <c r="G579" s="103"/>
      <c r="H579" s="104"/>
      <c r="I579" s="101">
        <v>7.59</v>
      </c>
      <c r="J579" s="99">
        <f>Table336789101112131415[[#This Row],[Sched C/ County/ State]]-Table336789101112131415[[#This Row],[2025 Rate]]</f>
        <v>0.52</v>
      </c>
    </row>
    <row r="580" spans="1:10" x14ac:dyDescent="0.2">
      <c r="A580" s="93">
        <v>2076</v>
      </c>
      <c r="B580" s="94" t="s">
        <v>480</v>
      </c>
      <c r="C580" s="95">
        <v>2018</v>
      </c>
      <c r="D580" s="96" t="s">
        <v>481</v>
      </c>
      <c r="E580" s="96" t="s">
        <v>482</v>
      </c>
      <c r="F580" s="101">
        <v>8.11</v>
      </c>
      <c r="G580" s="103"/>
      <c r="H580" s="104"/>
      <c r="I580" s="101">
        <v>7.59</v>
      </c>
      <c r="J580" s="99">
        <f>Table336789101112131415[[#This Row],[Sched C/ County/ State]]-Table336789101112131415[[#This Row],[2025 Rate]]</f>
        <v>0.52</v>
      </c>
    </row>
    <row r="581" spans="1:10" x14ac:dyDescent="0.2">
      <c r="A581" s="93">
        <v>2077</v>
      </c>
      <c r="B581" s="94" t="s">
        <v>480</v>
      </c>
      <c r="C581" s="95">
        <v>2018</v>
      </c>
      <c r="D581" s="96" t="s">
        <v>481</v>
      </c>
      <c r="E581" s="96" t="s">
        <v>482</v>
      </c>
      <c r="F581" s="101">
        <v>8.11</v>
      </c>
      <c r="G581" s="103"/>
      <c r="H581" s="104"/>
      <c r="I581" s="101">
        <v>7.59</v>
      </c>
      <c r="J581" s="99">
        <f>Table336789101112131415[[#This Row],[Sched C/ County/ State]]-Table336789101112131415[[#This Row],[2025 Rate]]</f>
        <v>0.52</v>
      </c>
    </row>
    <row r="582" spans="1:10" x14ac:dyDescent="0.2">
      <c r="A582" s="93">
        <v>2078</v>
      </c>
      <c r="B582" s="94" t="s">
        <v>480</v>
      </c>
      <c r="C582" s="95">
        <v>2018</v>
      </c>
      <c r="D582" s="96" t="s">
        <v>481</v>
      </c>
      <c r="E582" s="96" t="s">
        <v>482</v>
      </c>
      <c r="F582" s="101">
        <v>8.11</v>
      </c>
      <c r="G582" s="103"/>
      <c r="H582" s="104"/>
      <c r="I582" s="101">
        <v>7.59</v>
      </c>
      <c r="J582" s="99">
        <f>Table336789101112131415[[#This Row],[Sched C/ County/ State]]-Table336789101112131415[[#This Row],[2025 Rate]]</f>
        <v>0.52</v>
      </c>
    </row>
    <row r="583" spans="1:10" x14ac:dyDescent="0.2">
      <c r="A583" s="93">
        <v>2079</v>
      </c>
      <c r="B583" s="94" t="s">
        <v>474</v>
      </c>
      <c r="C583" s="95">
        <v>2018</v>
      </c>
      <c r="D583" s="96" t="s">
        <v>188</v>
      </c>
      <c r="F583" s="101">
        <v>3.05</v>
      </c>
      <c r="G583" s="103"/>
      <c r="H583" s="104"/>
      <c r="I583" s="101">
        <v>2.85</v>
      </c>
      <c r="J583" s="99">
        <f>Table336789101112131415[[#This Row],[Sched C/ County/ State]]-Table336789101112131415[[#This Row],[2025 Rate]]</f>
        <v>0.2</v>
      </c>
    </row>
    <row r="584" spans="1:10" x14ac:dyDescent="0.2">
      <c r="A584" s="93">
        <v>2080</v>
      </c>
      <c r="B584" s="94" t="s">
        <v>474</v>
      </c>
      <c r="C584" s="95">
        <v>2018</v>
      </c>
      <c r="D584" s="96" t="s">
        <v>188</v>
      </c>
      <c r="F584" s="101">
        <v>3.05</v>
      </c>
      <c r="G584" s="103"/>
      <c r="H584" s="104"/>
      <c r="I584" s="101">
        <v>2.85</v>
      </c>
      <c r="J584" s="99">
        <f>Table336789101112131415[[#This Row],[Sched C/ County/ State]]-Table336789101112131415[[#This Row],[2025 Rate]]</f>
        <v>0.2</v>
      </c>
    </row>
    <row r="585" spans="1:10" x14ac:dyDescent="0.2">
      <c r="A585" s="93">
        <v>2081</v>
      </c>
      <c r="B585" s="96" t="s">
        <v>472</v>
      </c>
      <c r="C585" s="95">
        <v>2002</v>
      </c>
      <c r="D585" s="96" t="s">
        <v>205</v>
      </c>
      <c r="E585" s="96" t="s">
        <v>472</v>
      </c>
      <c r="F585" s="101">
        <v>2.59</v>
      </c>
      <c r="G585" s="103"/>
      <c r="H585" s="104"/>
      <c r="I585" s="101">
        <v>2.42</v>
      </c>
      <c r="J585" s="99">
        <f>Table336789101112131415[[#This Row],[Sched C/ County/ State]]-Table336789101112131415[[#This Row],[2025 Rate]]</f>
        <v>0.17</v>
      </c>
    </row>
    <row r="586" spans="1:10" x14ac:dyDescent="0.2">
      <c r="A586" s="93">
        <v>2085</v>
      </c>
      <c r="B586" s="94" t="s">
        <v>474</v>
      </c>
      <c r="C586" s="95">
        <v>2017</v>
      </c>
      <c r="D586" s="96" t="s">
        <v>170</v>
      </c>
      <c r="F586" s="101">
        <v>3.05</v>
      </c>
      <c r="G586" s="105"/>
      <c r="H586" s="106"/>
      <c r="I586" s="101">
        <v>2.85</v>
      </c>
      <c r="J586" s="99">
        <f>Table336789101112131415[[#This Row],[Sched C/ County/ State]]-Table336789101112131415[[#This Row],[2025 Rate]]</f>
        <v>0.2</v>
      </c>
    </row>
    <row r="587" spans="1:10" x14ac:dyDescent="0.2">
      <c r="A587" s="93">
        <v>2086</v>
      </c>
      <c r="B587" s="94" t="s">
        <v>474</v>
      </c>
      <c r="C587" s="95">
        <v>2017</v>
      </c>
      <c r="D587" s="96" t="s">
        <v>170</v>
      </c>
      <c r="F587" s="101">
        <v>3.05</v>
      </c>
      <c r="G587" s="105"/>
      <c r="H587" s="106"/>
      <c r="I587" s="101">
        <v>2.85</v>
      </c>
      <c r="J587" s="99">
        <f>Table336789101112131415[[#This Row],[Sched C/ County/ State]]-Table336789101112131415[[#This Row],[2025 Rate]]</f>
        <v>0.2</v>
      </c>
    </row>
    <row r="588" spans="1:10" x14ac:dyDescent="0.2">
      <c r="A588" s="93">
        <v>2087</v>
      </c>
      <c r="B588" s="94" t="s">
        <v>472</v>
      </c>
      <c r="C588" s="95">
        <v>2015</v>
      </c>
      <c r="D588" s="96" t="s">
        <v>205</v>
      </c>
      <c r="F588" s="101">
        <v>2.59</v>
      </c>
      <c r="G588" s="105"/>
      <c r="H588" s="106"/>
      <c r="I588" s="101">
        <v>2.42</v>
      </c>
      <c r="J588" s="99">
        <f>Table336789101112131415[[#This Row],[Sched C/ County/ State]]-Table336789101112131415[[#This Row],[2025 Rate]]</f>
        <v>0.17</v>
      </c>
    </row>
    <row r="589" spans="1:10" x14ac:dyDescent="0.2">
      <c r="A589" s="93">
        <v>2088</v>
      </c>
      <c r="B589" s="96" t="s">
        <v>472</v>
      </c>
      <c r="C589" s="95">
        <v>2003</v>
      </c>
      <c r="E589" s="96" t="s">
        <v>483</v>
      </c>
      <c r="F589" s="101">
        <v>2.59</v>
      </c>
      <c r="G589" s="103"/>
      <c r="H589" s="104"/>
      <c r="I589" s="101">
        <v>2.42</v>
      </c>
      <c r="J589" s="99">
        <f>Table336789101112131415[[#This Row],[Sched C/ County/ State]]-Table336789101112131415[[#This Row],[2025 Rate]]</f>
        <v>0.17</v>
      </c>
    </row>
    <row r="590" spans="1:10" x14ac:dyDescent="0.2">
      <c r="A590" s="93">
        <v>2089</v>
      </c>
      <c r="B590" s="96" t="s">
        <v>472</v>
      </c>
      <c r="C590" s="95">
        <v>2003</v>
      </c>
      <c r="F590" s="101">
        <v>2.59</v>
      </c>
      <c r="G590" s="103"/>
      <c r="H590" s="104"/>
      <c r="I590" s="101">
        <v>2.42</v>
      </c>
      <c r="J590" s="99">
        <f>Table336789101112131415[[#This Row],[Sched C/ County/ State]]-Table336789101112131415[[#This Row],[2025 Rate]]</f>
        <v>0.17</v>
      </c>
    </row>
    <row r="591" spans="1:10" x14ac:dyDescent="0.2">
      <c r="A591" s="93">
        <v>2090</v>
      </c>
      <c r="B591" s="96" t="s">
        <v>472</v>
      </c>
      <c r="C591" s="95">
        <v>2003</v>
      </c>
      <c r="E591" s="96" t="s">
        <v>484</v>
      </c>
      <c r="F591" s="101">
        <v>2.59</v>
      </c>
      <c r="G591" s="103"/>
      <c r="H591" s="104"/>
      <c r="I591" s="101">
        <v>2.42</v>
      </c>
      <c r="J591" s="99">
        <f>Table336789101112131415[[#This Row],[Sched C/ County/ State]]-Table336789101112131415[[#This Row],[2025 Rate]]</f>
        <v>0.17</v>
      </c>
    </row>
    <row r="592" spans="1:10" x14ac:dyDescent="0.2">
      <c r="A592" s="93">
        <v>2091</v>
      </c>
      <c r="B592" s="96" t="s">
        <v>472</v>
      </c>
      <c r="C592" s="95">
        <v>2005</v>
      </c>
      <c r="F592" s="101">
        <v>2.59</v>
      </c>
      <c r="G592" s="103"/>
      <c r="H592" s="104"/>
      <c r="I592" s="101">
        <v>2.42</v>
      </c>
      <c r="J592" s="99">
        <f>Table336789101112131415[[#This Row],[Sched C/ County/ State]]-Table336789101112131415[[#This Row],[2025 Rate]]</f>
        <v>0.17</v>
      </c>
    </row>
    <row r="593" spans="1:10" x14ac:dyDescent="0.2">
      <c r="A593" s="93">
        <v>2092</v>
      </c>
      <c r="B593" s="96" t="s">
        <v>472</v>
      </c>
      <c r="C593" s="95">
        <v>2006</v>
      </c>
      <c r="F593" s="101">
        <v>2.59</v>
      </c>
      <c r="G593" s="103"/>
      <c r="H593" s="104"/>
      <c r="I593" s="101">
        <v>2.42</v>
      </c>
      <c r="J593" s="99">
        <f>Table336789101112131415[[#This Row],[Sched C/ County/ State]]-Table336789101112131415[[#This Row],[2025 Rate]]</f>
        <v>0.17</v>
      </c>
    </row>
    <row r="594" spans="1:10" x14ac:dyDescent="0.2">
      <c r="A594" s="93">
        <v>2094</v>
      </c>
      <c r="B594" s="96" t="s">
        <v>472</v>
      </c>
      <c r="C594" s="95">
        <v>2009</v>
      </c>
      <c r="D594" s="96" t="s">
        <v>205</v>
      </c>
      <c r="F594" s="101">
        <v>2.59</v>
      </c>
      <c r="G594" s="103"/>
      <c r="H594" s="104"/>
      <c r="I594" s="101">
        <v>2.42</v>
      </c>
      <c r="J594" s="99">
        <f>Table336789101112131415[[#This Row],[Sched C/ County/ State]]-Table336789101112131415[[#This Row],[2025 Rate]]</f>
        <v>0.17</v>
      </c>
    </row>
    <row r="595" spans="1:10" x14ac:dyDescent="0.2">
      <c r="A595" s="93">
        <v>2095</v>
      </c>
      <c r="B595" s="96" t="s">
        <v>472</v>
      </c>
      <c r="C595" s="95">
        <v>2009</v>
      </c>
      <c r="F595" s="101">
        <v>2.59</v>
      </c>
      <c r="G595" s="103"/>
      <c r="H595" s="104"/>
      <c r="I595" s="101">
        <v>2.42</v>
      </c>
      <c r="J595" s="99">
        <f>Table336789101112131415[[#This Row],[Sched C/ County/ State]]-Table336789101112131415[[#This Row],[2025 Rate]]</f>
        <v>0.17</v>
      </c>
    </row>
    <row r="596" spans="1:10" x14ac:dyDescent="0.2">
      <c r="A596" s="93">
        <v>2096</v>
      </c>
      <c r="B596" s="96" t="s">
        <v>472</v>
      </c>
      <c r="C596" s="95">
        <v>2010</v>
      </c>
      <c r="D596" s="96" t="s">
        <v>205</v>
      </c>
      <c r="F596" s="101">
        <v>2.59</v>
      </c>
      <c r="G596" s="103"/>
      <c r="H596" s="104"/>
      <c r="I596" s="101">
        <v>2.42</v>
      </c>
      <c r="J596" s="99">
        <f>Table336789101112131415[[#This Row],[Sched C/ County/ State]]-Table336789101112131415[[#This Row],[2025 Rate]]</f>
        <v>0.17</v>
      </c>
    </row>
    <row r="597" spans="1:10" x14ac:dyDescent="0.2">
      <c r="A597" s="93">
        <v>2097</v>
      </c>
      <c r="B597" s="96" t="s">
        <v>472</v>
      </c>
      <c r="C597" s="95">
        <v>2012</v>
      </c>
      <c r="D597" s="96" t="s">
        <v>205</v>
      </c>
      <c r="F597" s="101">
        <v>2.59</v>
      </c>
      <c r="G597" s="103"/>
      <c r="H597" s="104"/>
      <c r="I597" s="101">
        <v>2.42</v>
      </c>
      <c r="J597" s="99">
        <f>Table336789101112131415[[#This Row],[Sched C/ County/ State]]-Table336789101112131415[[#This Row],[2025 Rate]]</f>
        <v>0.17</v>
      </c>
    </row>
    <row r="598" spans="1:10" x14ac:dyDescent="0.2">
      <c r="A598" s="93">
        <v>2098</v>
      </c>
      <c r="B598" s="96" t="s">
        <v>472</v>
      </c>
      <c r="C598" s="95">
        <v>2013</v>
      </c>
      <c r="D598" s="96" t="s">
        <v>205</v>
      </c>
      <c r="F598" s="101">
        <v>2.59</v>
      </c>
      <c r="G598" s="103"/>
      <c r="H598" s="104"/>
      <c r="I598" s="101">
        <v>2.42</v>
      </c>
      <c r="J598" s="99">
        <f>Table336789101112131415[[#This Row],[Sched C/ County/ State]]-Table336789101112131415[[#This Row],[2025 Rate]]</f>
        <v>0.17</v>
      </c>
    </row>
    <row r="599" spans="1:10" x14ac:dyDescent="0.2">
      <c r="A599" s="93">
        <v>2099</v>
      </c>
      <c r="B599" s="96" t="s">
        <v>472</v>
      </c>
      <c r="C599" s="95">
        <v>2014</v>
      </c>
      <c r="D599" s="96" t="s">
        <v>205</v>
      </c>
      <c r="F599" s="101">
        <v>2.59</v>
      </c>
      <c r="G599" s="103"/>
      <c r="H599" s="104"/>
      <c r="I599" s="101">
        <v>2.42</v>
      </c>
      <c r="J599" s="99">
        <f>Table336789101112131415[[#This Row],[Sched C/ County/ State]]-Table336789101112131415[[#This Row],[2025 Rate]]</f>
        <v>0.17</v>
      </c>
    </row>
    <row r="600" spans="1:10" x14ac:dyDescent="0.2">
      <c r="A600" s="93">
        <v>2107</v>
      </c>
      <c r="B600" s="96" t="s">
        <v>485</v>
      </c>
      <c r="C600" s="95">
        <v>2011</v>
      </c>
      <c r="D600" s="116" t="s">
        <v>486</v>
      </c>
      <c r="E600" s="96" t="s">
        <v>487</v>
      </c>
      <c r="F600" s="101">
        <v>3.61</v>
      </c>
      <c r="G600" s="103"/>
      <c r="H600" s="104"/>
      <c r="I600" s="101">
        <v>3.38</v>
      </c>
      <c r="J600" s="99">
        <f>Table336789101112131415[[#This Row],[Sched C/ County/ State]]-Table336789101112131415[[#This Row],[2025 Rate]]</f>
        <v>0.23</v>
      </c>
    </row>
    <row r="601" spans="1:10" ht="30" x14ac:dyDescent="0.2">
      <c r="A601" s="93">
        <v>2109</v>
      </c>
      <c r="B601" s="96" t="s">
        <v>488</v>
      </c>
      <c r="C601" s="95">
        <v>2014</v>
      </c>
      <c r="D601" s="96" t="s">
        <v>205</v>
      </c>
      <c r="E601" s="96" t="s">
        <v>489</v>
      </c>
      <c r="F601" s="101">
        <v>170.44</v>
      </c>
      <c r="G601" s="103"/>
      <c r="H601" s="104"/>
      <c r="I601" s="101">
        <v>159.5</v>
      </c>
      <c r="J601" s="99">
        <f>Table336789101112131415[[#This Row],[Sched C/ County/ State]]-Table336789101112131415[[#This Row],[2025 Rate]]</f>
        <v>10.94</v>
      </c>
    </row>
    <row r="602" spans="1:10" x14ac:dyDescent="0.2">
      <c r="A602" s="93">
        <v>2114</v>
      </c>
      <c r="B602" s="96" t="s">
        <v>490</v>
      </c>
      <c r="C602" s="95">
        <v>2014</v>
      </c>
      <c r="D602" s="96" t="s">
        <v>205</v>
      </c>
      <c r="E602" s="96" t="s">
        <v>491</v>
      </c>
      <c r="F602" s="101">
        <v>7.9</v>
      </c>
      <c r="G602" s="103"/>
      <c r="H602" s="104"/>
      <c r="I602" s="101">
        <v>7.39</v>
      </c>
      <c r="J602" s="99">
        <f>Table336789101112131415[[#This Row],[Sched C/ County/ State]]-Table336789101112131415[[#This Row],[2025 Rate]]</f>
        <v>0.51</v>
      </c>
    </row>
    <row r="603" spans="1:10" x14ac:dyDescent="0.2">
      <c r="A603" s="93">
        <v>2115</v>
      </c>
      <c r="B603" s="96" t="s">
        <v>98</v>
      </c>
      <c r="C603" s="95">
        <v>2014</v>
      </c>
      <c r="D603" s="96" t="s">
        <v>205</v>
      </c>
      <c r="E603" s="96" t="s">
        <v>492</v>
      </c>
      <c r="F603" s="101">
        <v>30.07</v>
      </c>
      <c r="G603" s="103"/>
      <c r="H603" s="104"/>
      <c r="I603" s="101">
        <v>27.28</v>
      </c>
      <c r="J603" s="99">
        <f>Table336789101112131415[[#This Row],[Sched C/ County/ State]]-Table336789101112131415[[#This Row],[2025 Rate]]</f>
        <v>2.79</v>
      </c>
    </row>
    <row r="604" spans="1:10" x14ac:dyDescent="0.2">
      <c r="A604" s="93">
        <v>2116</v>
      </c>
      <c r="B604" s="96" t="s">
        <v>93</v>
      </c>
      <c r="C604" s="95">
        <v>2013</v>
      </c>
      <c r="D604" s="96" t="s">
        <v>205</v>
      </c>
      <c r="E604" s="96" t="s">
        <v>493</v>
      </c>
      <c r="F604" s="101">
        <v>136.06</v>
      </c>
      <c r="G604" s="103"/>
      <c r="H604" s="104"/>
      <c r="I604" s="101">
        <v>127.33</v>
      </c>
      <c r="J604" s="99">
        <f>Table336789101112131415[[#This Row],[Sched C/ County/ State]]-Table336789101112131415[[#This Row],[2025 Rate]]</f>
        <v>8.73</v>
      </c>
    </row>
    <row r="605" spans="1:10" x14ac:dyDescent="0.2">
      <c r="A605" s="93">
        <v>2118</v>
      </c>
      <c r="B605" s="96" t="s">
        <v>261</v>
      </c>
      <c r="C605" s="95">
        <v>2013</v>
      </c>
      <c r="F605" s="101">
        <v>62.98</v>
      </c>
      <c r="G605" s="103"/>
      <c r="H605" s="104"/>
      <c r="I605" s="101">
        <v>58.43</v>
      </c>
      <c r="J605" s="99">
        <f>Table336789101112131415[[#This Row],[Sched C/ County/ State]]-Table336789101112131415[[#This Row],[2025 Rate]]</f>
        <v>4.55</v>
      </c>
    </row>
    <row r="606" spans="1:10" x14ac:dyDescent="0.2">
      <c r="A606" s="93">
        <v>2119</v>
      </c>
      <c r="B606" s="96" t="s">
        <v>490</v>
      </c>
      <c r="C606" s="95">
        <v>2012</v>
      </c>
      <c r="D606" s="96" t="s">
        <v>205</v>
      </c>
      <c r="F606" s="101">
        <v>7.9</v>
      </c>
      <c r="G606" s="103"/>
      <c r="H606" s="104"/>
      <c r="I606" s="101">
        <v>7.39</v>
      </c>
      <c r="J606" s="99">
        <f>Table336789101112131415[[#This Row],[Sched C/ County/ State]]-Table336789101112131415[[#This Row],[2025 Rate]]</f>
        <v>0.51</v>
      </c>
    </row>
    <row r="607" spans="1:10" x14ac:dyDescent="0.2">
      <c r="A607" s="93">
        <v>2122</v>
      </c>
      <c r="B607" s="96" t="s">
        <v>494</v>
      </c>
      <c r="C607" s="95">
        <v>2009</v>
      </c>
      <c r="F607" s="101">
        <v>36.47</v>
      </c>
      <c r="G607" s="103"/>
      <c r="H607" s="104"/>
      <c r="I607" s="101">
        <v>34.130000000000003</v>
      </c>
      <c r="J607" s="99">
        <f>Table336789101112131415[[#This Row],[Sched C/ County/ State]]-Table336789101112131415[[#This Row],[2025 Rate]]</f>
        <v>2.34</v>
      </c>
    </row>
    <row r="608" spans="1:10" x14ac:dyDescent="0.2">
      <c r="A608" s="93">
        <v>2124</v>
      </c>
      <c r="B608" s="96" t="s">
        <v>495</v>
      </c>
      <c r="C608" s="95">
        <v>2014</v>
      </c>
      <c r="D608" s="96" t="s">
        <v>148</v>
      </c>
      <c r="E608" s="96" t="s">
        <v>496</v>
      </c>
      <c r="F608" s="101">
        <v>20.43</v>
      </c>
      <c r="G608" s="103"/>
      <c r="H608" s="104"/>
      <c r="I608" s="101">
        <v>19.12</v>
      </c>
      <c r="J608" s="99">
        <f>Table336789101112131415[[#This Row],[Sched C/ County/ State]]-Table336789101112131415[[#This Row],[2025 Rate]]</f>
        <v>1.31</v>
      </c>
    </row>
    <row r="609" spans="1:10" x14ac:dyDescent="0.2">
      <c r="A609" s="93">
        <v>2127</v>
      </c>
      <c r="B609" s="96" t="s">
        <v>162</v>
      </c>
      <c r="C609" s="95">
        <v>2012</v>
      </c>
      <c r="D609" s="96" t="s">
        <v>152</v>
      </c>
      <c r="E609" s="96" t="s">
        <v>497</v>
      </c>
      <c r="F609" s="101">
        <v>5.9</v>
      </c>
      <c r="G609" s="103"/>
      <c r="H609" s="104"/>
      <c r="I609" s="101">
        <v>5.52</v>
      </c>
      <c r="J609" s="99">
        <f>Table336789101112131415[[#This Row],[Sched C/ County/ State]]-Table336789101112131415[[#This Row],[2025 Rate]]</f>
        <v>0.38</v>
      </c>
    </row>
    <row r="610" spans="1:10" x14ac:dyDescent="0.2">
      <c r="A610" s="93">
        <v>2128</v>
      </c>
      <c r="B610" s="96" t="s">
        <v>498</v>
      </c>
      <c r="C610" s="95">
        <v>2012</v>
      </c>
      <c r="D610" s="96" t="s">
        <v>499</v>
      </c>
      <c r="E610" s="96" t="s">
        <v>500</v>
      </c>
      <c r="F610" s="101">
        <v>1.2</v>
      </c>
      <c r="G610" s="103"/>
      <c r="H610" s="104"/>
      <c r="I610" s="101">
        <v>1.1200000000000001</v>
      </c>
      <c r="J610" s="99">
        <f>Table336789101112131415[[#This Row],[Sched C/ County/ State]]-Table336789101112131415[[#This Row],[2025 Rate]]</f>
        <v>0.08</v>
      </c>
    </row>
    <row r="611" spans="1:10" x14ac:dyDescent="0.2">
      <c r="A611" s="93">
        <v>2129</v>
      </c>
      <c r="B611" s="96" t="s">
        <v>501</v>
      </c>
      <c r="C611" s="95">
        <v>2012</v>
      </c>
      <c r="D611" s="96" t="s">
        <v>502</v>
      </c>
      <c r="E611" s="96" t="s">
        <v>503</v>
      </c>
      <c r="F611" s="101">
        <v>12</v>
      </c>
      <c r="G611" s="103"/>
      <c r="H611" s="104"/>
      <c r="I611" s="101">
        <v>11.23</v>
      </c>
      <c r="J611" s="99">
        <f>Table336789101112131415[[#This Row],[Sched C/ County/ State]]-Table336789101112131415[[#This Row],[2025 Rate]]</f>
        <v>0.77</v>
      </c>
    </row>
    <row r="612" spans="1:10" x14ac:dyDescent="0.2">
      <c r="A612" s="93">
        <v>2131</v>
      </c>
      <c r="B612" s="96" t="s">
        <v>504</v>
      </c>
      <c r="C612" s="95">
        <v>2005</v>
      </c>
      <c r="D612" s="96" t="s">
        <v>505</v>
      </c>
      <c r="E612" s="96" t="s">
        <v>506</v>
      </c>
      <c r="F612" s="101">
        <v>20.43</v>
      </c>
      <c r="G612" s="103"/>
      <c r="H612" s="104"/>
      <c r="I612" s="101">
        <v>19.12</v>
      </c>
      <c r="J612" s="99">
        <f>Table336789101112131415[[#This Row],[Sched C/ County/ State]]-Table336789101112131415[[#This Row],[2025 Rate]]</f>
        <v>1.31</v>
      </c>
    </row>
    <row r="613" spans="1:10" x14ac:dyDescent="0.2">
      <c r="A613" s="93">
        <v>2132</v>
      </c>
      <c r="B613" s="96" t="s">
        <v>495</v>
      </c>
      <c r="C613" s="95">
        <v>2014</v>
      </c>
      <c r="D613" s="96" t="s">
        <v>148</v>
      </c>
      <c r="E613" s="96" t="s">
        <v>496</v>
      </c>
      <c r="F613" s="101">
        <v>20.43</v>
      </c>
      <c r="G613" s="103"/>
      <c r="H613" s="104"/>
      <c r="I613" s="101">
        <v>19.12</v>
      </c>
      <c r="J613" s="99">
        <f>Table336789101112131415[[#This Row],[Sched C/ County/ State]]-Table336789101112131415[[#This Row],[2025 Rate]]</f>
        <v>1.31</v>
      </c>
    </row>
    <row r="614" spans="1:10" x14ac:dyDescent="0.2">
      <c r="A614" s="93">
        <v>2133</v>
      </c>
      <c r="B614" s="94" t="s">
        <v>507</v>
      </c>
      <c r="C614" s="95">
        <v>2015</v>
      </c>
      <c r="D614" s="96" t="s">
        <v>438</v>
      </c>
      <c r="F614" s="101">
        <v>9.66</v>
      </c>
      <c r="G614" s="105"/>
      <c r="H614" s="106"/>
      <c r="I614" s="101">
        <v>9.0399999999999991</v>
      </c>
      <c r="J614" s="99">
        <f>Table336789101112131415[[#This Row],[Sched C/ County/ State]]-Table336789101112131415[[#This Row],[2025 Rate]]</f>
        <v>0.62</v>
      </c>
    </row>
    <row r="615" spans="1:10" ht="30" x14ac:dyDescent="0.2">
      <c r="A615" s="93">
        <v>2134</v>
      </c>
      <c r="B615" s="94" t="s">
        <v>508</v>
      </c>
      <c r="C615" s="95">
        <v>2015</v>
      </c>
      <c r="D615" s="96" t="s">
        <v>438</v>
      </c>
      <c r="E615" s="96" t="s">
        <v>509</v>
      </c>
      <c r="F615" s="101">
        <v>47.75</v>
      </c>
      <c r="G615" s="105"/>
      <c r="H615" s="106"/>
      <c r="I615" s="101">
        <v>44.68</v>
      </c>
      <c r="J615" s="99">
        <f>Table336789101112131415[[#This Row],[Sched C/ County/ State]]-Table336789101112131415[[#This Row],[2025 Rate]]</f>
        <v>3.07</v>
      </c>
    </row>
    <row r="616" spans="1:10" x14ac:dyDescent="0.2">
      <c r="A616" s="93">
        <v>2135</v>
      </c>
      <c r="B616" s="96" t="s">
        <v>159</v>
      </c>
      <c r="C616" s="95">
        <v>2011</v>
      </c>
      <c r="D616" s="96" t="s">
        <v>510</v>
      </c>
      <c r="F616" s="101">
        <v>0.1</v>
      </c>
      <c r="G616" s="103"/>
      <c r="H616" s="104"/>
      <c r="I616" s="101">
        <v>0.09</v>
      </c>
      <c r="J616" s="99">
        <f>Table336789101112131415[[#This Row],[Sched C/ County/ State]]-Table336789101112131415[[#This Row],[2025 Rate]]</f>
        <v>0.01</v>
      </c>
    </row>
    <row r="617" spans="1:10" x14ac:dyDescent="0.2">
      <c r="A617" s="93">
        <v>2137</v>
      </c>
      <c r="B617" s="96" t="s">
        <v>159</v>
      </c>
      <c r="C617" s="95">
        <v>2011</v>
      </c>
      <c r="D617" s="96" t="s">
        <v>510</v>
      </c>
      <c r="F617" s="101">
        <v>0.1</v>
      </c>
      <c r="G617" s="103"/>
      <c r="H617" s="104"/>
      <c r="I617" s="101">
        <v>0.09</v>
      </c>
      <c r="J617" s="99">
        <f>Table336789101112131415[[#This Row],[Sched C/ County/ State]]-Table336789101112131415[[#This Row],[2025 Rate]]</f>
        <v>0.01</v>
      </c>
    </row>
    <row r="618" spans="1:10" x14ac:dyDescent="0.2">
      <c r="A618" s="93">
        <v>2140</v>
      </c>
      <c r="B618" s="96" t="s">
        <v>159</v>
      </c>
      <c r="C618" s="95">
        <v>2013</v>
      </c>
      <c r="D618" s="96" t="s">
        <v>510</v>
      </c>
      <c r="E618" s="96" t="s">
        <v>511</v>
      </c>
      <c r="F618" s="101">
        <v>0.1</v>
      </c>
      <c r="G618" s="103"/>
      <c r="H618" s="104"/>
      <c r="I618" s="101">
        <v>0.09</v>
      </c>
      <c r="J618" s="99">
        <f>Table336789101112131415[[#This Row],[Sched C/ County/ State]]-Table336789101112131415[[#This Row],[2025 Rate]]</f>
        <v>0.01</v>
      </c>
    </row>
    <row r="619" spans="1:10" x14ac:dyDescent="0.2">
      <c r="A619" s="93">
        <v>2141</v>
      </c>
      <c r="B619" s="96" t="s">
        <v>159</v>
      </c>
      <c r="C619" s="95">
        <v>2013</v>
      </c>
      <c r="D619" s="96" t="s">
        <v>510</v>
      </c>
      <c r="E619" s="96" t="s">
        <v>512</v>
      </c>
      <c r="F619" s="101">
        <v>0.1</v>
      </c>
      <c r="G619" s="103"/>
      <c r="H619" s="104"/>
      <c r="I619" s="101">
        <v>0.09</v>
      </c>
      <c r="J619" s="99">
        <f>Table336789101112131415[[#This Row],[Sched C/ County/ State]]-Table336789101112131415[[#This Row],[2025 Rate]]</f>
        <v>0.01</v>
      </c>
    </row>
    <row r="620" spans="1:10" x14ac:dyDescent="0.2">
      <c r="A620" s="93">
        <v>2142</v>
      </c>
      <c r="B620" s="96" t="s">
        <v>159</v>
      </c>
      <c r="C620" s="95">
        <v>2013</v>
      </c>
      <c r="D620" s="96" t="s">
        <v>510</v>
      </c>
      <c r="E620" s="96" t="s">
        <v>513</v>
      </c>
      <c r="F620" s="101">
        <v>0.1</v>
      </c>
      <c r="G620" s="103"/>
      <c r="H620" s="104"/>
      <c r="I620" s="101">
        <v>0.09</v>
      </c>
      <c r="J620" s="99">
        <f>Table336789101112131415[[#This Row],[Sched C/ County/ State]]-Table336789101112131415[[#This Row],[2025 Rate]]</f>
        <v>0.01</v>
      </c>
    </row>
    <row r="621" spans="1:10" x14ac:dyDescent="0.2">
      <c r="A621" s="93">
        <v>2143</v>
      </c>
      <c r="B621" s="96" t="s">
        <v>159</v>
      </c>
      <c r="C621" s="95">
        <v>2013</v>
      </c>
      <c r="D621" s="96" t="s">
        <v>510</v>
      </c>
      <c r="E621" s="96" t="s">
        <v>513</v>
      </c>
      <c r="F621" s="101">
        <v>0.1</v>
      </c>
      <c r="G621" s="103"/>
      <c r="H621" s="104"/>
      <c r="I621" s="101">
        <v>0.09</v>
      </c>
      <c r="J621" s="99">
        <f>Table336789101112131415[[#This Row],[Sched C/ County/ State]]-Table336789101112131415[[#This Row],[2025 Rate]]</f>
        <v>0.01</v>
      </c>
    </row>
    <row r="622" spans="1:10" ht="30" x14ac:dyDescent="0.2">
      <c r="A622" s="93">
        <v>2144</v>
      </c>
      <c r="B622" s="94" t="s">
        <v>514</v>
      </c>
      <c r="C622" s="95">
        <v>2015</v>
      </c>
      <c r="D622" s="96" t="s">
        <v>148</v>
      </c>
      <c r="E622" s="96" t="s">
        <v>515</v>
      </c>
      <c r="F622" s="101">
        <v>66.489999999999995</v>
      </c>
      <c r="G622" s="105"/>
      <c r="H622" s="106"/>
      <c r="I622" s="101">
        <v>62.22</v>
      </c>
      <c r="J622" s="99">
        <f>Table336789101112131415[[#This Row],[Sched C/ County/ State]]-Table336789101112131415[[#This Row],[2025 Rate]]</f>
        <v>4.2699999999999996</v>
      </c>
    </row>
    <row r="623" spans="1:10" x14ac:dyDescent="0.2">
      <c r="A623" s="93">
        <v>2145</v>
      </c>
      <c r="B623" s="94" t="s">
        <v>150</v>
      </c>
      <c r="C623" s="95">
        <v>2015</v>
      </c>
      <c r="D623" s="96" t="s">
        <v>148</v>
      </c>
      <c r="E623" s="96" t="s">
        <v>516</v>
      </c>
      <c r="F623" s="101">
        <v>6.98</v>
      </c>
      <c r="G623" s="105"/>
      <c r="H623" s="106"/>
      <c r="I623" s="101">
        <v>6.53</v>
      </c>
      <c r="J623" s="99">
        <f>Table336789101112131415[[#This Row],[Sched C/ County/ State]]-Table336789101112131415[[#This Row],[2025 Rate]]</f>
        <v>0.45</v>
      </c>
    </row>
    <row r="624" spans="1:10" x14ac:dyDescent="0.2">
      <c r="A624" s="93">
        <v>2146</v>
      </c>
      <c r="B624" s="94" t="s">
        <v>517</v>
      </c>
      <c r="C624" s="95">
        <v>2015</v>
      </c>
      <c r="D624" s="96" t="s">
        <v>205</v>
      </c>
      <c r="E624" s="96" t="s">
        <v>518</v>
      </c>
      <c r="F624" s="101">
        <v>17.170000000000002</v>
      </c>
      <c r="G624" s="105"/>
      <c r="H624" s="106"/>
      <c r="I624" s="101">
        <v>16.7</v>
      </c>
      <c r="J624" s="99">
        <f>Table336789101112131415[[#This Row],[Sched C/ County/ State]]-Table336789101112131415[[#This Row],[2025 Rate]]</f>
        <v>0.47</v>
      </c>
    </row>
    <row r="625" spans="1:10" x14ac:dyDescent="0.2">
      <c r="A625" s="93">
        <v>2147</v>
      </c>
      <c r="B625" s="94" t="s">
        <v>508</v>
      </c>
      <c r="C625" s="95">
        <v>2015</v>
      </c>
      <c r="D625" s="96" t="s">
        <v>438</v>
      </c>
      <c r="E625" s="96" t="s">
        <v>519</v>
      </c>
      <c r="F625" s="101">
        <v>47.75</v>
      </c>
      <c r="G625" s="105"/>
      <c r="H625" s="106"/>
      <c r="I625" s="101">
        <v>44.68</v>
      </c>
      <c r="J625" s="99">
        <f>Table336789101112131415[[#This Row],[Sched C/ County/ State]]-Table336789101112131415[[#This Row],[2025 Rate]]</f>
        <v>3.07</v>
      </c>
    </row>
    <row r="626" spans="1:10" x14ac:dyDescent="0.2">
      <c r="A626" s="93">
        <v>2148</v>
      </c>
      <c r="B626" s="94" t="s">
        <v>507</v>
      </c>
      <c r="C626" s="95">
        <v>2015</v>
      </c>
      <c r="D626" s="96" t="s">
        <v>438</v>
      </c>
      <c r="F626" s="101">
        <v>9.66</v>
      </c>
      <c r="G626" s="105"/>
      <c r="H626" s="106"/>
      <c r="I626" s="101">
        <v>9.0399999999999991</v>
      </c>
      <c r="J626" s="99">
        <f>Table336789101112131415[[#This Row],[Sched C/ County/ State]]-Table336789101112131415[[#This Row],[2025 Rate]]</f>
        <v>0.62</v>
      </c>
    </row>
    <row r="627" spans="1:10" x14ac:dyDescent="0.2">
      <c r="A627" s="93">
        <v>2149</v>
      </c>
      <c r="B627" s="96" t="s">
        <v>520</v>
      </c>
      <c r="C627" s="95">
        <v>2014</v>
      </c>
      <c r="D627" s="96" t="s">
        <v>521</v>
      </c>
      <c r="E627" s="96" t="s">
        <v>522</v>
      </c>
      <c r="F627" s="101">
        <v>10.43</v>
      </c>
      <c r="G627" s="103"/>
      <c r="H627" s="104"/>
      <c r="I627" s="101">
        <v>9.68</v>
      </c>
      <c r="J627" s="99">
        <f>Table336789101112131415[[#This Row],[Sched C/ County/ State]]-Table336789101112131415[[#This Row],[2025 Rate]]</f>
        <v>0.75</v>
      </c>
    </row>
    <row r="628" spans="1:10" x14ac:dyDescent="0.2">
      <c r="A628" s="93">
        <v>2150</v>
      </c>
      <c r="B628" s="96" t="s">
        <v>159</v>
      </c>
      <c r="C628" s="95">
        <v>2010</v>
      </c>
      <c r="D628" s="96" t="s">
        <v>510</v>
      </c>
      <c r="E628" s="96" t="s">
        <v>513</v>
      </c>
      <c r="F628" s="101">
        <v>0.1</v>
      </c>
      <c r="G628" s="103"/>
      <c r="H628" s="104"/>
      <c r="I628" s="101">
        <v>0.09</v>
      </c>
      <c r="J628" s="99">
        <f>Table336789101112131415[[#This Row],[Sched C/ County/ State]]-Table336789101112131415[[#This Row],[2025 Rate]]</f>
        <v>0.01</v>
      </c>
    </row>
    <row r="629" spans="1:10" x14ac:dyDescent="0.2">
      <c r="A629" s="93">
        <v>2151</v>
      </c>
      <c r="B629" s="96" t="s">
        <v>159</v>
      </c>
      <c r="C629" s="95">
        <v>2010</v>
      </c>
      <c r="D629" s="96" t="s">
        <v>510</v>
      </c>
      <c r="E629" s="96" t="s">
        <v>513</v>
      </c>
      <c r="F629" s="101">
        <v>0.1</v>
      </c>
      <c r="G629" s="103"/>
      <c r="H629" s="104"/>
      <c r="I629" s="101">
        <v>0.09</v>
      </c>
      <c r="J629" s="99">
        <f>Table336789101112131415[[#This Row],[Sched C/ County/ State]]-Table336789101112131415[[#This Row],[2025 Rate]]</f>
        <v>0.01</v>
      </c>
    </row>
    <row r="630" spans="1:10" x14ac:dyDescent="0.2">
      <c r="A630" s="93">
        <v>2152</v>
      </c>
      <c r="B630" s="96" t="s">
        <v>159</v>
      </c>
      <c r="C630" s="95">
        <v>2010</v>
      </c>
      <c r="D630" s="96" t="s">
        <v>510</v>
      </c>
      <c r="E630" s="96" t="s">
        <v>513</v>
      </c>
      <c r="F630" s="101">
        <v>0.1</v>
      </c>
      <c r="G630" s="103"/>
      <c r="H630" s="104"/>
      <c r="I630" s="101">
        <v>0.09</v>
      </c>
      <c r="J630" s="99">
        <f>Table336789101112131415[[#This Row],[Sched C/ County/ State]]-Table336789101112131415[[#This Row],[2025 Rate]]</f>
        <v>0.01</v>
      </c>
    </row>
    <row r="631" spans="1:10" x14ac:dyDescent="0.2">
      <c r="A631" s="93">
        <v>2153</v>
      </c>
      <c r="B631" s="96" t="s">
        <v>159</v>
      </c>
      <c r="C631" s="95">
        <v>2010</v>
      </c>
      <c r="D631" s="96" t="s">
        <v>510</v>
      </c>
      <c r="E631" s="96" t="s">
        <v>513</v>
      </c>
      <c r="F631" s="101">
        <v>0.1</v>
      </c>
      <c r="G631" s="103"/>
      <c r="H631" s="104"/>
      <c r="I631" s="101">
        <v>0.09</v>
      </c>
      <c r="J631" s="99">
        <f>Table336789101112131415[[#This Row],[Sched C/ County/ State]]-Table336789101112131415[[#This Row],[2025 Rate]]</f>
        <v>0.01</v>
      </c>
    </row>
    <row r="632" spans="1:10" x14ac:dyDescent="0.2">
      <c r="A632" s="93">
        <v>2155</v>
      </c>
      <c r="B632" s="96" t="s">
        <v>159</v>
      </c>
      <c r="C632" s="95">
        <v>2010</v>
      </c>
      <c r="D632" s="96" t="s">
        <v>510</v>
      </c>
      <c r="E632" s="96" t="s">
        <v>513</v>
      </c>
      <c r="F632" s="101">
        <v>0.1</v>
      </c>
      <c r="G632" s="103"/>
      <c r="H632" s="104"/>
      <c r="I632" s="101">
        <v>0.09</v>
      </c>
      <c r="J632" s="99">
        <f>Table336789101112131415[[#This Row],[Sched C/ County/ State]]-Table336789101112131415[[#This Row],[2025 Rate]]</f>
        <v>0.01</v>
      </c>
    </row>
    <row r="633" spans="1:10" x14ac:dyDescent="0.2">
      <c r="A633" s="93">
        <v>2156</v>
      </c>
      <c r="B633" s="96" t="s">
        <v>523</v>
      </c>
      <c r="C633" s="95">
        <v>2014</v>
      </c>
      <c r="E633" s="96" t="s">
        <v>524</v>
      </c>
      <c r="F633" s="101">
        <v>6.69</v>
      </c>
      <c r="G633" s="103"/>
      <c r="H633" s="104"/>
      <c r="I633" s="101">
        <v>6.26</v>
      </c>
      <c r="J633" s="99">
        <f>Table336789101112131415[[#This Row],[Sched C/ County/ State]]-Table336789101112131415[[#This Row],[2025 Rate]]</f>
        <v>0.43</v>
      </c>
    </row>
    <row r="634" spans="1:10" x14ac:dyDescent="0.2">
      <c r="A634" s="93">
        <v>2157</v>
      </c>
      <c r="B634" s="96" t="s">
        <v>525</v>
      </c>
      <c r="C634" s="95">
        <v>2011</v>
      </c>
      <c r="F634" s="101">
        <v>3.38</v>
      </c>
      <c r="G634" s="103"/>
      <c r="H634" s="104"/>
      <c r="I634" s="101">
        <v>3.16</v>
      </c>
      <c r="J634" s="99">
        <f>Table336789101112131415[[#This Row],[Sched C/ County/ State]]-Table336789101112131415[[#This Row],[2025 Rate]]</f>
        <v>0.22</v>
      </c>
    </row>
    <row r="635" spans="1:10" x14ac:dyDescent="0.2">
      <c r="A635" s="93">
        <v>2160</v>
      </c>
      <c r="B635" s="94" t="s">
        <v>526</v>
      </c>
      <c r="C635" s="95">
        <v>2016</v>
      </c>
      <c r="D635" s="96" t="s">
        <v>527</v>
      </c>
      <c r="E635" s="96" t="s">
        <v>528</v>
      </c>
      <c r="F635" s="101">
        <v>8.11</v>
      </c>
      <c r="G635" s="105"/>
      <c r="H635" s="106"/>
      <c r="I635" s="101">
        <v>7.59</v>
      </c>
      <c r="J635" s="99">
        <f>Table336789101112131415[[#This Row],[Sched C/ County/ State]]-Table336789101112131415[[#This Row],[2025 Rate]]</f>
        <v>0.52</v>
      </c>
    </row>
    <row r="636" spans="1:10" x14ac:dyDescent="0.2">
      <c r="A636" s="93">
        <v>2161</v>
      </c>
      <c r="B636" s="94" t="s">
        <v>529</v>
      </c>
      <c r="C636" s="95">
        <v>2017</v>
      </c>
      <c r="F636" s="101">
        <v>5.55</v>
      </c>
      <c r="G636" s="105"/>
      <c r="H636" s="106"/>
      <c r="I636" s="101">
        <v>5.15</v>
      </c>
      <c r="J636" s="99">
        <f>Table336789101112131415[[#This Row],[Sched C/ County/ State]]-Table336789101112131415[[#This Row],[2025 Rate]]</f>
        <v>0.4</v>
      </c>
    </row>
    <row r="637" spans="1:10" x14ac:dyDescent="0.2">
      <c r="A637" s="93">
        <v>2162</v>
      </c>
      <c r="B637" s="94" t="s">
        <v>529</v>
      </c>
      <c r="C637" s="95">
        <v>2017</v>
      </c>
      <c r="F637" s="101">
        <v>5.55</v>
      </c>
      <c r="G637" s="105"/>
      <c r="H637" s="106"/>
      <c r="I637" s="101">
        <v>5.15</v>
      </c>
      <c r="J637" s="99">
        <f>Table336789101112131415[[#This Row],[Sched C/ County/ State]]-Table336789101112131415[[#This Row],[2025 Rate]]</f>
        <v>0.4</v>
      </c>
    </row>
    <row r="638" spans="1:10" ht="30" x14ac:dyDescent="0.2">
      <c r="A638" s="93">
        <v>2163</v>
      </c>
      <c r="B638" s="94" t="s">
        <v>530</v>
      </c>
      <c r="C638" s="95">
        <v>2017</v>
      </c>
      <c r="D638" s="96" t="s">
        <v>170</v>
      </c>
      <c r="E638" s="96" t="s">
        <v>531</v>
      </c>
      <c r="F638" s="101">
        <v>25.2</v>
      </c>
      <c r="G638" s="105"/>
      <c r="H638" s="106"/>
      <c r="I638" s="101">
        <v>23.58</v>
      </c>
      <c r="J638" s="99">
        <f>Table336789101112131415[[#This Row],[Sched C/ County/ State]]-Table336789101112131415[[#This Row],[2025 Rate]]</f>
        <v>1.62</v>
      </c>
    </row>
    <row r="639" spans="1:10" ht="30" x14ac:dyDescent="0.2">
      <c r="A639" s="93">
        <v>2164</v>
      </c>
      <c r="B639" s="94" t="s">
        <v>530</v>
      </c>
      <c r="C639" s="95">
        <v>2017</v>
      </c>
      <c r="D639" s="96" t="s">
        <v>170</v>
      </c>
      <c r="E639" s="96" t="s">
        <v>531</v>
      </c>
      <c r="F639" s="101">
        <v>25.2</v>
      </c>
      <c r="G639" s="105"/>
      <c r="H639" s="106"/>
      <c r="I639" s="101">
        <v>23.58</v>
      </c>
      <c r="J639" s="99">
        <f>Table336789101112131415[[#This Row],[Sched C/ County/ State]]-Table336789101112131415[[#This Row],[2025 Rate]]</f>
        <v>1.62</v>
      </c>
    </row>
    <row r="640" spans="1:10" x14ac:dyDescent="0.2">
      <c r="A640" s="93">
        <v>2165</v>
      </c>
      <c r="B640" s="94" t="s">
        <v>532</v>
      </c>
      <c r="C640" s="95">
        <v>2016</v>
      </c>
      <c r="D640" s="96" t="s">
        <v>533</v>
      </c>
      <c r="E640" s="96" t="s">
        <v>534</v>
      </c>
      <c r="F640" s="101">
        <v>6.98</v>
      </c>
      <c r="G640" s="105"/>
      <c r="H640" s="106"/>
      <c r="I640" s="101">
        <v>6.48</v>
      </c>
      <c r="J640" s="99">
        <f>Table336789101112131415[[#This Row],[Sched C/ County/ State]]-Table336789101112131415[[#This Row],[2025 Rate]]</f>
        <v>0.5</v>
      </c>
    </row>
    <row r="641" spans="1:10" x14ac:dyDescent="0.2">
      <c r="A641" s="93">
        <v>2166</v>
      </c>
      <c r="B641" s="94" t="s">
        <v>532</v>
      </c>
      <c r="C641" s="95">
        <v>2016</v>
      </c>
      <c r="D641" s="96" t="s">
        <v>533</v>
      </c>
      <c r="E641" s="96" t="s">
        <v>534</v>
      </c>
      <c r="F641" s="101">
        <v>6.98</v>
      </c>
      <c r="G641" s="105"/>
      <c r="H641" s="106"/>
      <c r="I641" s="101">
        <v>6.48</v>
      </c>
      <c r="J641" s="99">
        <f>Table336789101112131415[[#This Row],[Sched C/ County/ State]]-Table336789101112131415[[#This Row],[2025 Rate]]</f>
        <v>0.5</v>
      </c>
    </row>
    <row r="642" spans="1:10" x14ac:dyDescent="0.2">
      <c r="A642" s="93">
        <v>2167</v>
      </c>
      <c r="B642" s="94" t="s">
        <v>535</v>
      </c>
      <c r="C642" s="95">
        <v>2017</v>
      </c>
      <c r="D642" s="96" t="s">
        <v>455</v>
      </c>
      <c r="E642" s="96" t="s">
        <v>536</v>
      </c>
      <c r="F642" s="101">
        <v>28.93</v>
      </c>
      <c r="G642" s="105"/>
      <c r="H642" s="106"/>
      <c r="I642" s="101">
        <v>27.07</v>
      </c>
      <c r="J642" s="99">
        <f>Table336789101112131415[[#This Row],[Sched C/ County/ State]]-Table336789101112131415[[#This Row],[2025 Rate]]</f>
        <v>1.86</v>
      </c>
    </row>
    <row r="643" spans="1:10" x14ac:dyDescent="0.2">
      <c r="A643" s="93">
        <v>2168</v>
      </c>
      <c r="B643" s="94" t="s">
        <v>537</v>
      </c>
      <c r="C643" s="95">
        <v>2016</v>
      </c>
      <c r="D643" s="96" t="s">
        <v>538</v>
      </c>
      <c r="E643" s="96">
        <v>1497527</v>
      </c>
      <c r="F643" s="101">
        <v>0.56999999999999995</v>
      </c>
      <c r="G643" s="105"/>
      <c r="H643" s="106"/>
      <c r="I643" s="101">
        <v>0.5</v>
      </c>
      <c r="J643" s="99">
        <f>Table336789101112131415[[#This Row],[Sched C/ County/ State]]-Table336789101112131415[[#This Row],[2025 Rate]]</f>
        <v>7.0000000000000007E-2</v>
      </c>
    </row>
    <row r="644" spans="1:10" x14ac:dyDescent="0.2">
      <c r="A644" s="93">
        <v>2170</v>
      </c>
      <c r="B644" s="94" t="s">
        <v>490</v>
      </c>
      <c r="C644" s="95">
        <v>2015</v>
      </c>
      <c r="D644" s="96" t="s">
        <v>205</v>
      </c>
      <c r="F644" s="101">
        <v>7.9</v>
      </c>
      <c r="G644" s="105"/>
      <c r="H644" s="106"/>
      <c r="I644" s="101">
        <v>7.39</v>
      </c>
      <c r="J644" s="99">
        <f>Table336789101112131415[[#This Row],[Sched C/ County/ State]]-Table336789101112131415[[#This Row],[2025 Rate]]</f>
        <v>0.51</v>
      </c>
    </row>
    <row r="645" spans="1:10" x14ac:dyDescent="0.2">
      <c r="A645" s="93">
        <v>2171</v>
      </c>
      <c r="B645" s="94" t="s">
        <v>98</v>
      </c>
      <c r="C645" s="95">
        <v>2015</v>
      </c>
      <c r="D645" s="96" t="s">
        <v>205</v>
      </c>
      <c r="E645" s="96" t="s">
        <v>492</v>
      </c>
      <c r="F645" s="101">
        <v>30.07</v>
      </c>
      <c r="G645" s="105"/>
      <c r="H645" s="106"/>
      <c r="I645" s="101">
        <v>27.28</v>
      </c>
      <c r="J645" s="99">
        <f>Table336789101112131415[[#This Row],[Sched C/ County/ State]]-Table336789101112131415[[#This Row],[2025 Rate]]</f>
        <v>2.79</v>
      </c>
    </row>
    <row r="646" spans="1:10" ht="30" x14ac:dyDescent="0.2">
      <c r="A646" s="93">
        <v>2172</v>
      </c>
      <c r="B646" s="94" t="s">
        <v>539</v>
      </c>
      <c r="C646" s="95">
        <v>2016</v>
      </c>
      <c r="D646" s="96" t="s">
        <v>540</v>
      </c>
      <c r="E646" s="96" t="s">
        <v>541</v>
      </c>
      <c r="F646" s="101">
        <v>31.48</v>
      </c>
      <c r="G646" s="105"/>
      <c r="H646" s="106"/>
      <c r="I646" s="101">
        <v>29.46</v>
      </c>
      <c r="J646" s="99">
        <f>Table336789101112131415[[#This Row],[Sched C/ County/ State]]-Table336789101112131415[[#This Row],[2025 Rate]]</f>
        <v>2.02</v>
      </c>
    </row>
    <row r="647" spans="1:10" ht="30" x14ac:dyDescent="0.2">
      <c r="A647" s="93">
        <v>2173</v>
      </c>
      <c r="B647" s="94" t="s">
        <v>542</v>
      </c>
      <c r="C647" s="95">
        <v>2016</v>
      </c>
      <c r="D647" s="96" t="s">
        <v>543</v>
      </c>
      <c r="E647" s="96">
        <v>50518</v>
      </c>
      <c r="F647" s="101">
        <v>12</v>
      </c>
      <c r="G647" s="105"/>
      <c r="H647" s="106"/>
      <c r="I647" s="101">
        <v>11.23</v>
      </c>
      <c r="J647" s="99">
        <f>Table336789101112131415[[#This Row],[Sched C/ County/ State]]-Table336789101112131415[[#This Row],[2025 Rate]]</f>
        <v>0.77</v>
      </c>
    </row>
    <row r="648" spans="1:10" x14ac:dyDescent="0.2">
      <c r="A648" s="93">
        <v>2174</v>
      </c>
      <c r="B648" s="94" t="s">
        <v>147</v>
      </c>
      <c r="C648" s="95">
        <v>2016</v>
      </c>
      <c r="D648" s="96" t="s">
        <v>148</v>
      </c>
      <c r="E648" s="96" t="s">
        <v>544</v>
      </c>
      <c r="F648" s="101">
        <v>6.98</v>
      </c>
      <c r="G648" s="105"/>
      <c r="H648" s="106"/>
      <c r="I648" s="101">
        <v>6.53</v>
      </c>
      <c r="J648" s="99">
        <f>Table336789101112131415[[#This Row],[Sched C/ County/ State]]-Table336789101112131415[[#This Row],[2025 Rate]]</f>
        <v>0.45</v>
      </c>
    </row>
    <row r="649" spans="1:10" x14ac:dyDescent="0.2">
      <c r="A649" s="93">
        <v>2176</v>
      </c>
      <c r="B649" s="94" t="s">
        <v>162</v>
      </c>
      <c r="C649" s="95">
        <v>2016</v>
      </c>
      <c r="D649" s="96" t="s">
        <v>152</v>
      </c>
      <c r="F649" s="101">
        <v>5.9</v>
      </c>
      <c r="G649" s="105"/>
      <c r="H649" s="106"/>
      <c r="I649" s="101">
        <v>5.52</v>
      </c>
      <c r="J649" s="99">
        <f>Table336789101112131415[[#This Row],[Sched C/ County/ State]]-Table336789101112131415[[#This Row],[2025 Rate]]</f>
        <v>0.38</v>
      </c>
    </row>
    <row r="650" spans="1:10" x14ac:dyDescent="0.2">
      <c r="A650" s="93">
        <v>2177</v>
      </c>
      <c r="B650" s="94" t="s">
        <v>162</v>
      </c>
      <c r="C650" s="95">
        <v>2016</v>
      </c>
      <c r="D650" s="96" t="s">
        <v>152</v>
      </c>
      <c r="F650" s="101">
        <v>5.9</v>
      </c>
      <c r="G650" s="105"/>
      <c r="H650" s="106"/>
      <c r="I650" s="101">
        <v>5.52</v>
      </c>
      <c r="J650" s="99">
        <f>Table336789101112131415[[#This Row],[Sched C/ County/ State]]-Table336789101112131415[[#This Row],[2025 Rate]]</f>
        <v>0.38</v>
      </c>
    </row>
    <row r="651" spans="1:10" x14ac:dyDescent="0.2">
      <c r="A651" s="93">
        <v>2178</v>
      </c>
      <c r="B651" s="94" t="s">
        <v>162</v>
      </c>
      <c r="C651" s="95">
        <v>2015</v>
      </c>
      <c r="D651" s="96" t="s">
        <v>152</v>
      </c>
      <c r="E651" s="96" t="s">
        <v>497</v>
      </c>
      <c r="F651" s="101">
        <v>5.9</v>
      </c>
      <c r="G651" s="105"/>
      <c r="H651" s="106"/>
      <c r="I651" s="101">
        <v>5.52</v>
      </c>
      <c r="J651" s="99">
        <f>Table336789101112131415[[#This Row],[Sched C/ County/ State]]-Table336789101112131415[[#This Row],[2025 Rate]]</f>
        <v>0.38</v>
      </c>
    </row>
    <row r="652" spans="1:10" x14ac:dyDescent="0.2">
      <c r="A652" s="93">
        <v>2179</v>
      </c>
      <c r="B652" s="96" t="s">
        <v>251</v>
      </c>
      <c r="C652" s="95">
        <v>2014</v>
      </c>
      <c r="D652" s="96" t="s">
        <v>545</v>
      </c>
      <c r="E652" s="96" t="s">
        <v>546</v>
      </c>
      <c r="F652" s="101">
        <v>0.56999999999999995</v>
      </c>
      <c r="G652" s="103"/>
      <c r="H652" s="104"/>
      <c r="I652" s="101">
        <v>0.53</v>
      </c>
      <c r="J652" s="99">
        <f>Table336789101112131415[[#This Row],[Sched C/ County/ State]]-Table336789101112131415[[#This Row],[2025 Rate]]</f>
        <v>0.04</v>
      </c>
    </row>
    <row r="653" spans="1:10" ht="30" x14ac:dyDescent="0.2">
      <c r="A653" s="93">
        <v>2181</v>
      </c>
      <c r="B653" s="94" t="s">
        <v>477</v>
      </c>
      <c r="C653" s="95">
        <v>2011</v>
      </c>
      <c r="D653" s="96" t="s">
        <v>478</v>
      </c>
      <c r="E653" s="96" t="s">
        <v>479</v>
      </c>
      <c r="F653" s="101">
        <v>1.63</v>
      </c>
      <c r="G653" s="103"/>
      <c r="H653" s="104"/>
      <c r="I653" s="101">
        <v>1.51</v>
      </c>
      <c r="J653" s="99">
        <f>Table336789101112131415[[#This Row],[Sched C/ County/ State]]-Table336789101112131415[[#This Row],[2025 Rate]]</f>
        <v>0.12</v>
      </c>
    </row>
    <row r="654" spans="1:10" ht="30" x14ac:dyDescent="0.2">
      <c r="A654" s="93">
        <v>2183</v>
      </c>
      <c r="B654" s="96" t="s">
        <v>477</v>
      </c>
      <c r="C654" s="95">
        <v>2011</v>
      </c>
      <c r="D654" s="96" t="s">
        <v>478</v>
      </c>
      <c r="E654" s="96" t="s">
        <v>479</v>
      </c>
      <c r="F654" s="101">
        <v>1.63</v>
      </c>
      <c r="G654" s="103"/>
      <c r="H654" s="104"/>
      <c r="I654" s="101">
        <v>1.51</v>
      </c>
      <c r="J654" s="99">
        <f>Table336789101112131415[[#This Row],[Sched C/ County/ State]]-Table336789101112131415[[#This Row],[2025 Rate]]</f>
        <v>0.12</v>
      </c>
    </row>
    <row r="655" spans="1:10" ht="30" x14ac:dyDescent="0.2">
      <c r="A655" s="93">
        <v>2185</v>
      </c>
      <c r="B655" s="96" t="s">
        <v>477</v>
      </c>
      <c r="C655" s="95">
        <v>2011</v>
      </c>
      <c r="D655" s="96" t="s">
        <v>478</v>
      </c>
      <c r="E655" s="96" t="s">
        <v>479</v>
      </c>
      <c r="F655" s="101">
        <v>1.63</v>
      </c>
      <c r="G655" s="103"/>
      <c r="H655" s="104"/>
      <c r="I655" s="101">
        <v>1.51</v>
      </c>
      <c r="J655" s="99">
        <f>Table336789101112131415[[#This Row],[Sched C/ County/ State]]-Table336789101112131415[[#This Row],[2025 Rate]]</f>
        <v>0.12</v>
      </c>
    </row>
    <row r="656" spans="1:10" ht="30" x14ac:dyDescent="0.2">
      <c r="A656" s="93">
        <v>2186</v>
      </c>
      <c r="B656" s="96" t="s">
        <v>477</v>
      </c>
      <c r="C656" s="95">
        <v>2011</v>
      </c>
      <c r="D656" s="96" t="s">
        <v>478</v>
      </c>
      <c r="E656" s="96" t="s">
        <v>479</v>
      </c>
      <c r="F656" s="101">
        <v>1.63</v>
      </c>
      <c r="G656" s="103"/>
      <c r="H656" s="104"/>
      <c r="I656" s="101">
        <v>1.51</v>
      </c>
      <c r="J656" s="99">
        <f>Table336789101112131415[[#This Row],[Sched C/ County/ State]]-Table336789101112131415[[#This Row],[2025 Rate]]</f>
        <v>0.12</v>
      </c>
    </row>
    <row r="657" spans="1:10" x14ac:dyDescent="0.2">
      <c r="A657" s="93">
        <v>2188</v>
      </c>
      <c r="B657" s="96" t="s">
        <v>94</v>
      </c>
      <c r="C657" s="95"/>
      <c r="F657" s="101">
        <v>5.55</v>
      </c>
      <c r="G657" s="103"/>
      <c r="H657" s="104"/>
      <c r="I657" s="101">
        <v>5.15</v>
      </c>
      <c r="J657" s="99">
        <f>Table336789101112131415[[#This Row],[Sched C/ County/ State]]-Table336789101112131415[[#This Row],[2025 Rate]]</f>
        <v>0.4</v>
      </c>
    </row>
    <row r="658" spans="1:10" x14ac:dyDescent="0.2">
      <c r="A658" s="93">
        <v>2189</v>
      </c>
      <c r="B658" s="96" t="s">
        <v>221</v>
      </c>
      <c r="C658" s="95">
        <v>2014</v>
      </c>
      <c r="D658" s="96" t="s">
        <v>547</v>
      </c>
      <c r="F658" s="101">
        <v>18.04</v>
      </c>
      <c r="G658" s="103"/>
      <c r="H658" s="104"/>
      <c r="I658" s="101">
        <v>16.88</v>
      </c>
      <c r="J658" s="99">
        <f>Table336789101112131415[[#This Row],[Sched C/ County/ State]]-Table336789101112131415[[#This Row],[2025 Rate]]</f>
        <v>1.1599999999999999</v>
      </c>
    </row>
    <row r="659" spans="1:10" ht="30" x14ac:dyDescent="0.2">
      <c r="A659" s="93">
        <v>2197</v>
      </c>
      <c r="B659" s="96" t="s">
        <v>548</v>
      </c>
      <c r="C659" s="95">
        <v>2014</v>
      </c>
      <c r="D659" s="96" t="s">
        <v>170</v>
      </c>
      <c r="E659" s="96" t="s">
        <v>549</v>
      </c>
      <c r="F659" s="101">
        <v>11.54</v>
      </c>
      <c r="G659" s="103"/>
      <c r="H659" s="104"/>
      <c r="I659" s="101">
        <v>10.8</v>
      </c>
      <c r="J659" s="99">
        <f>Table336789101112131415[[#This Row],[Sched C/ County/ State]]-Table336789101112131415[[#This Row],[2025 Rate]]</f>
        <v>0.74</v>
      </c>
    </row>
    <row r="660" spans="1:10" x14ac:dyDescent="0.2">
      <c r="A660" s="93">
        <v>2198</v>
      </c>
      <c r="B660" s="96" t="s">
        <v>550</v>
      </c>
      <c r="C660" s="95">
        <v>2014</v>
      </c>
      <c r="F660" s="101">
        <v>3.24</v>
      </c>
      <c r="G660" s="103"/>
      <c r="H660" s="104"/>
      <c r="I660" s="101">
        <v>3.01</v>
      </c>
      <c r="J660" s="99">
        <f>Table336789101112131415[[#This Row],[Sched C/ County/ State]]-Table336789101112131415[[#This Row],[2025 Rate]]</f>
        <v>0.23</v>
      </c>
    </row>
    <row r="661" spans="1:10" x14ac:dyDescent="0.2">
      <c r="A661" s="93">
        <v>2199</v>
      </c>
      <c r="B661" s="96" t="s">
        <v>551</v>
      </c>
      <c r="C661" s="95">
        <v>2014</v>
      </c>
      <c r="F661" s="101">
        <v>3.24</v>
      </c>
      <c r="G661" s="103"/>
      <c r="H661" s="104"/>
      <c r="I661" s="101">
        <v>3.01</v>
      </c>
      <c r="J661" s="99">
        <f>Table336789101112131415[[#This Row],[Sched C/ County/ State]]-Table336789101112131415[[#This Row],[2025 Rate]]</f>
        <v>0.23</v>
      </c>
    </row>
    <row r="662" spans="1:10" x14ac:dyDescent="0.2">
      <c r="A662" s="93">
        <v>2200</v>
      </c>
      <c r="B662" s="96" t="s">
        <v>552</v>
      </c>
      <c r="C662" s="95">
        <v>2002</v>
      </c>
      <c r="F662" s="101">
        <v>6.8</v>
      </c>
      <c r="G662" s="103"/>
      <c r="H662" s="104"/>
      <c r="I662" s="101">
        <v>6.31</v>
      </c>
      <c r="J662" s="99">
        <f>Table336789101112131415[[#This Row],[Sched C/ County/ State]]-Table336789101112131415[[#This Row],[2025 Rate]]</f>
        <v>0.49</v>
      </c>
    </row>
    <row r="663" spans="1:10" ht="30" x14ac:dyDescent="0.2">
      <c r="A663" s="93">
        <v>2223</v>
      </c>
      <c r="B663" s="96" t="s">
        <v>553</v>
      </c>
      <c r="C663" s="95">
        <v>2002</v>
      </c>
      <c r="F663" s="101">
        <v>6.86</v>
      </c>
      <c r="G663" s="103"/>
      <c r="H663" s="104"/>
      <c r="I663" s="101">
        <v>6.42</v>
      </c>
      <c r="J663" s="99">
        <f>Table336789101112131415[[#This Row],[Sched C/ County/ State]]-Table336789101112131415[[#This Row],[2025 Rate]]</f>
        <v>0.44</v>
      </c>
    </row>
    <row r="664" spans="1:10" x14ac:dyDescent="0.2">
      <c r="A664" s="93">
        <v>2231</v>
      </c>
      <c r="B664" s="96" t="s">
        <v>474</v>
      </c>
      <c r="C664" s="95">
        <v>2009</v>
      </c>
      <c r="D664" s="96" t="s">
        <v>170</v>
      </c>
      <c r="F664" s="101">
        <v>3.05</v>
      </c>
      <c r="G664" s="103"/>
      <c r="H664" s="104"/>
      <c r="I664" s="101">
        <v>2.85</v>
      </c>
      <c r="J664" s="99">
        <f>Table336789101112131415[[#This Row],[Sched C/ County/ State]]-Table336789101112131415[[#This Row],[2025 Rate]]</f>
        <v>0.2</v>
      </c>
    </row>
    <row r="665" spans="1:10" x14ac:dyDescent="0.2">
      <c r="A665" s="93">
        <v>2232</v>
      </c>
      <c r="B665" s="96" t="s">
        <v>474</v>
      </c>
      <c r="C665" s="95">
        <v>2009</v>
      </c>
      <c r="D665" s="96" t="s">
        <v>170</v>
      </c>
      <c r="F665" s="101">
        <v>3.05</v>
      </c>
      <c r="G665" s="103"/>
      <c r="H665" s="104"/>
      <c r="I665" s="101">
        <v>2.85</v>
      </c>
      <c r="J665" s="99">
        <f>Table336789101112131415[[#This Row],[Sched C/ County/ State]]-Table336789101112131415[[#This Row],[2025 Rate]]</f>
        <v>0.2</v>
      </c>
    </row>
    <row r="666" spans="1:10" x14ac:dyDescent="0.2">
      <c r="A666" s="93">
        <v>2233</v>
      </c>
      <c r="B666" s="96" t="s">
        <v>474</v>
      </c>
      <c r="C666" s="95">
        <v>2009</v>
      </c>
      <c r="D666" s="96" t="s">
        <v>170</v>
      </c>
      <c r="F666" s="101">
        <v>3.05</v>
      </c>
      <c r="G666" s="103"/>
      <c r="H666" s="104"/>
      <c r="I666" s="101">
        <v>2.85</v>
      </c>
      <c r="J666" s="99">
        <f>Table336789101112131415[[#This Row],[Sched C/ County/ State]]-Table336789101112131415[[#This Row],[2025 Rate]]</f>
        <v>0.2</v>
      </c>
    </row>
    <row r="667" spans="1:10" x14ac:dyDescent="0.2">
      <c r="A667" s="93">
        <v>2234</v>
      </c>
      <c r="B667" s="96" t="s">
        <v>474</v>
      </c>
      <c r="C667" s="95">
        <v>2009</v>
      </c>
      <c r="D667" s="96" t="s">
        <v>170</v>
      </c>
      <c r="F667" s="101">
        <v>3.05</v>
      </c>
      <c r="G667" s="103"/>
      <c r="H667" s="104"/>
      <c r="I667" s="101">
        <v>2.85</v>
      </c>
      <c r="J667" s="99">
        <f>Table336789101112131415[[#This Row],[Sched C/ County/ State]]-Table336789101112131415[[#This Row],[2025 Rate]]</f>
        <v>0.2</v>
      </c>
    </row>
    <row r="668" spans="1:10" x14ac:dyDescent="0.2">
      <c r="A668" s="93">
        <v>2235</v>
      </c>
      <c r="B668" s="96" t="s">
        <v>474</v>
      </c>
      <c r="C668" s="95">
        <v>2009</v>
      </c>
      <c r="D668" s="96" t="s">
        <v>170</v>
      </c>
      <c r="F668" s="101">
        <v>3.05</v>
      </c>
      <c r="G668" s="103"/>
      <c r="H668" s="104"/>
      <c r="I668" s="101">
        <v>2.85</v>
      </c>
      <c r="J668" s="99">
        <f>Table336789101112131415[[#This Row],[Sched C/ County/ State]]-Table336789101112131415[[#This Row],[2025 Rate]]</f>
        <v>0.2</v>
      </c>
    </row>
    <row r="669" spans="1:10" x14ac:dyDescent="0.2">
      <c r="A669" s="93">
        <v>2237</v>
      </c>
      <c r="B669" s="96" t="s">
        <v>552</v>
      </c>
      <c r="C669" s="95">
        <v>2004</v>
      </c>
      <c r="F669" s="101">
        <v>6.8</v>
      </c>
      <c r="G669" s="103"/>
      <c r="H669" s="104"/>
      <c r="I669" s="101">
        <v>6.31</v>
      </c>
      <c r="J669" s="99">
        <f>Table336789101112131415[[#This Row],[Sched C/ County/ State]]-Table336789101112131415[[#This Row],[2025 Rate]]</f>
        <v>0.49</v>
      </c>
    </row>
    <row r="670" spans="1:10" ht="30" x14ac:dyDescent="0.2">
      <c r="A670" s="93">
        <v>2248</v>
      </c>
      <c r="B670" s="96" t="s">
        <v>554</v>
      </c>
      <c r="C670" s="95">
        <v>2009</v>
      </c>
      <c r="E670" s="96" t="s">
        <v>555</v>
      </c>
      <c r="F670" s="101">
        <v>7.94</v>
      </c>
      <c r="G670" s="103"/>
      <c r="H670" s="104"/>
      <c r="I670" s="101">
        <v>7.36</v>
      </c>
      <c r="J670" s="99">
        <f>Table336789101112131415[[#This Row],[Sched C/ County/ State]]-Table336789101112131415[[#This Row],[2025 Rate]]</f>
        <v>0.57999999999999996</v>
      </c>
    </row>
    <row r="671" spans="1:10" ht="30" x14ac:dyDescent="0.2">
      <c r="A671" s="93">
        <v>2249</v>
      </c>
      <c r="B671" s="96" t="s">
        <v>554</v>
      </c>
      <c r="C671" s="95">
        <v>2009</v>
      </c>
      <c r="E671" s="96" t="s">
        <v>556</v>
      </c>
      <c r="F671" s="101">
        <v>7.94</v>
      </c>
      <c r="G671" s="103"/>
      <c r="H671" s="104"/>
      <c r="I671" s="101">
        <v>7.36</v>
      </c>
      <c r="J671" s="99">
        <f>Table336789101112131415[[#This Row],[Sched C/ County/ State]]-Table336789101112131415[[#This Row],[2025 Rate]]</f>
        <v>0.57999999999999996</v>
      </c>
    </row>
    <row r="672" spans="1:10" ht="30" x14ac:dyDescent="0.2">
      <c r="A672" s="93">
        <v>2250</v>
      </c>
      <c r="B672" s="96" t="s">
        <v>554</v>
      </c>
      <c r="C672" s="95">
        <v>2005</v>
      </c>
      <c r="E672" s="96" t="s">
        <v>557</v>
      </c>
      <c r="F672" s="101">
        <v>7.94</v>
      </c>
      <c r="G672" s="103"/>
      <c r="H672" s="104"/>
      <c r="I672" s="101">
        <v>7.36</v>
      </c>
      <c r="J672" s="99">
        <f>Table336789101112131415[[#This Row],[Sched C/ County/ State]]-Table336789101112131415[[#This Row],[2025 Rate]]</f>
        <v>0.57999999999999996</v>
      </c>
    </row>
    <row r="673" spans="1:10" x14ac:dyDescent="0.2">
      <c r="A673" s="93">
        <v>2254</v>
      </c>
      <c r="B673" s="96" t="s">
        <v>554</v>
      </c>
      <c r="C673" s="95">
        <v>2007</v>
      </c>
      <c r="D673" s="96" t="s">
        <v>170</v>
      </c>
      <c r="F673" s="101">
        <v>7.94</v>
      </c>
      <c r="G673" s="103"/>
      <c r="H673" s="104"/>
      <c r="I673" s="101">
        <v>7.36</v>
      </c>
      <c r="J673" s="99">
        <f>Table336789101112131415[[#This Row],[Sched C/ County/ State]]-Table336789101112131415[[#This Row],[2025 Rate]]</f>
        <v>0.57999999999999996</v>
      </c>
    </row>
    <row r="674" spans="1:10" ht="30" x14ac:dyDescent="0.2">
      <c r="A674" s="93">
        <v>2255</v>
      </c>
      <c r="B674" s="96" t="s">
        <v>558</v>
      </c>
      <c r="C674" s="95">
        <v>2006</v>
      </c>
      <c r="F674" s="101">
        <v>6.8</v>
      </c>
      <c r="G674" s="103"/>
      <c r="H674" s="104"/>
      <c r="I674" s="101">
        <v>6.31</v>
      </c>
      <c r="J674" s="99">
        <f>Table336789101112131415[[#This Row],[Sched C/ County/ State]]-Table336789101112131415[[#This Row],[2025 Rate]]</f>
        <v>0.49</v>
      </c>
    </row>
    <row r="675" spans="1:10" x14ac:dyDescent="0.2">
      <c r="A675" s="93">
        <v>2257</v>
      </c>
      <c r="B675" s="96" t="s">
        <v>474</v>
      </c>
      <c r="C675" s="95">
        <v>2008</v>
      </c>
      <c r="F675" s="101">
        <v>3.05</v>
      </c>
      <c r="G675" s="103"/>
      <c r="H675" s="104"/>
      <c r="I675" s="101">
        <v>2.85</v>
      </c>
      <c r="J675" s="99">
        <f>Table336789101112131415[[#This Row],[Sched C/ County/ State]]-Table336789101112131415[[#This Row],[2025 Rate]]</f>
        <v>0.2</v>
      </c>
    </row>
    <row r="676" spans="1:10" x14ac:dyDescent="0.2">
      <c r="A676" s="93">
        <v>2258</v>
      </c>
      <c r="B676" s="96" t="s">
        <v>474</v>
      </c>
      <c r="C676" s="95">
        <v>2009</v>
      </c>
      <c r="D676" s="96" t="s">
        <v>170</v>
      </c>
      <c r="F676" s="101">
        <v>3.05</v>
      </c>
      <c r="G676" s="103"/>
      <c r="H676" s="104"/>
      <c r="I676" s="101">
        <v>2.85</v>
      </c>
      <c r="J676" s="99">
        <f>Table336789101112131415[[#This Row],[Sched C/ County/ State]]-Table336789101112131415[[#This Row],[2025 Rate]]</f>
        <v>0.2</v>
      </c>
    </row>
    <row r="677" spans="1:10" x14ac:dyDescent="0.2">
      <c r="A677" s="93">
        <v>2259</v>
      </c>
      <c r="B677" s="96" t="s">
        <v>474</v>
      </c>
      <c r="C677" s="95">
        <v>2009</v>
      </c>
      <c r="D677" s="96" t="s">
        <v>170</v>
      </c>
      <c r="F677" s="101">
        <v>3.05</v>
      </c>
      <c r="G677" s="103"/>
      <c r="H677" s="104"/>
      <c r="I677" s="101">
        <v>2.85</v>
      </c>
      <c r="J677" s="99">
        <f>Table336789101112131415[[#This Row],[Sched C/ County/ State]]-Table336789101112131415[[#This Row],[2025 Rate]]</f>
        <v>0.2</v>
      </c>
    </row>
    <row r="678" spans="1:10" x14ac:dyDescent="0.2">
      <c r="A678" s="93">
        <v>2260</v>
      </c>
      <c r="B678" s="96" t="s">
        <v>474</v>
      </c>
      <c r="C678" s="95">
        <v>2008</v>
      </c>
      <c r="D678" s="96" t="s">
        <v>170</v>
      </c>
      <c r="F678" s="101">
        <v>3.05</v>
      </c>
      <c r="G678" s="103"/>
      <c r="H678" s="104"/>
      <c r="I678" s="101">
        <v>2.85</v>
      </c>
      <c r="J678" s="99">
        <f>Table336789101112131415[[#This Row],[Sched C/ County/ State]]-Table336789101112131415[[#This Row],[2025 Rate]]</f>
        <v>0.2</v>
      </c>
    </row>
    <row r="679" spans="1:10" x14ac:dyDescent="0.2">
      <c r="A679" s="93">
        <v>2261</v>
      </c>
      <c r="B679" s="96" t="s">
        <v>474</v>
      </c>
      <c r="C679" s="95">
        <v>2009</v>
      </c>
      <c r="F679" s="101">
        <v>3.05</v>
      </c>
      <c r="G679" s="103"/>
      <c r="H679" s="104"/>
      <c r="I679" s="101">
        <v>2.85</v>
      </c>
      <c r="J679" s="99">
        <f>Table336789101112131415[[#This Row],[Sched C/ County/ State]]-Table336789101112131415[[#This Row],[2025 Rate]]</f>
        <v>0.2</v>
      </c>
    </row>
    <row r="680" spans="1:10" x14ac:dyDescent="0.2">
      <c r="A680" s="93">
        <v>2262</v>
      </c>
      <c r="B680" s="96" t="s">
        <v>474</v>
      </c>
      <c r="C680" s="95">
        <v>2010</v>
      </c>
      <c r="D680" s="96" t="s">
        <v>170</v>
      </c>
      <c r="E680" s="96" t="s">
        <v>559</v>
      </c>
      <c r="F680" s="101">
        <v>3.05</v>
      </c>
      <c r="G680" s="103"/>
      <c r="H680" s="104"/>
      <c r="I680" s="101">
        <v>2.85</v>
      </c>
      <c r="J680" s="99">
        <f>Table336789101112131415[[#This Row],[Sched C/ County/ State]]-Table336789101112131415[[#This Row],[2025 Rate]]</f>
        <v>0.2</v>
      </c>
    </row>
    <row r="681" spans="1:10" x14ac:dyDescent="0.2">
      <c r="A681" s="93">
        <v>2263</v>
      </c>
      <c r="B681" s="96" t="s">
        <v>474</v>
      </c>
      <c r="C681" s="95">
        <v>2010</v>
      </c>
      <c r="D681" s="96" t="s">
        <v>170</v>
      </c>
      <c r="E681" s="96" t="s">
        <v>560</v>
      </c>
      <c r="F681" s="101">
        <v>3.05</v>
      </c>
      <c r="G681" s="103"/>
      <c r="H681" s="104"/>
      <c r="I681" s="101">
        <v>2.85</v>
      </c>
      <c r="J681" s="99">
        <f>Table336789101112131415[[#This Row],[Sched C/ County/ State]]-Table336789101112131415[[#This Row],[2025 Rate]]</f>
        <v>0.2</v>
      </c>
    </row>
    <row r="682" spans="1:10" x14ac:dyDescent="0.2">
      <c r="A682" s="93">
        <v>2264</v>
      </c>
      <c r="B682" s="96" t="s">
        <v>474</v>
      </c>
      <c r="C682" s="95">
        <v>2010</v>
      </c>
      <c r="D682" s="96" t="s">
        <v>170</v>
      </c>
      <c r="E682" s="96" t="s">
        <v>560</v>
      </c>
      <c r="F682" s="101">
        <v>3.05</v>
      </c>
      <c r="G682" s="103"/>
      <c r="H682" s="104"/>
      <c r="I682" s="101">
        <v>2.85</v>
      </c>
      <c r="J682" s="99">
        <f>Table336789101112131415[[#This Row],[Sched C/ County/ State]]-Table336789101112131415[[#This Row],[2025 Rate]]</f>
        <v>0.2</v>
      </c>
    </row>
    <row r="683" spans="1:10" x14ac:dyDescent="0.2">
      <c r="A683" s="93">
        <v>2265</v>
      </c>
      <c r="B683" s="96" t="s">
        <v>474</v>
      </c>
      <c r="C683" s="95">
        <v>2010</v>
      </c>
      <c r="D683" s="96" t="s">
        <v>170</v>
      </c>
      <c r="E683" s="96" t="s">
        <v>560</v>
      </c>
      <c r="F683" s="101">
        <v>3.05</v>
      </c>
      <c r="G683" s="103"/>
      <c r="H683" s="104"/>
      <c r="I683" s="101">
        <v>2.85</v>
      </c>
      <c r="J683" s="99">
        <f>Table336789101112131415[[#This Row],[Sched C/ County/ State]]-Table336789101112131415[[#This Row],[2025 Rate]]</f>
        <v>0.2</v>
      </c>
    </row>
    <row r="684" spans="1:10" x14ac:dyDescent="0.2">
      <c r="A684" s="93">
        <v>2266</v>
      </c>
      <c r="B684" s="96" t="s">
        <v>474</v>
      </c>
      <c r="C684" s="95">
        <v>2010</v>
      </c>
      <c r="D684" s="96" t="s">
        <v>170</v>
      </c>
      <c r="E684" s="96" t="s">
        <v>560</v>
      </c>
      <c r="F684" s="101">
        <v>3.05</v>
      </c>
      <c r="G684" s="103"/>
      <c r="H684" s="104"/>
      <c r="I684" s="101">
        <v>2.85</v>
      </c>
      <c r="J684" s="99">
        <f>Table336789101112131415[[#This Row],[Sched C/ County/ State]]-Table336789101112131415[[#This Row],[2025 Rate]]</f>
        <v>0.2</v>
      </c>
    </row>
    <row r="685" spans="1:10" ht="30" x14ac:dyDescent="0.2">
      <c r="A685" s="93">
        <v>2267</v>
      </c>
      <c r="B685" s="96" t="s">
        <v>561</v>
      </c>
      <c r="C685" s="95">
        <v>2006</v>
      </c>
      <c r="F685" s="101">
        <v>8.9499999999999993</v>
      </c>
      <c r="G685" s="103"/>
      <c r="H685" s="104"/>
      <c r="I685" s="101">
        <v>8.3800000000000008</v>
      </c>
      <c r="J685" s="99">
        <f>Table336789101112131415[[#This Row],[Sched C/ County/ State]]-Table336789101112131415[[#This Row],[2025 Rate]]</f>
        <v>0.56999999999999995</v>
      </c>
    </row>
    <row r="686" spans="1:10" x14ac:dyDescent="0.2">
      <c r="A686" s="93">
        <v>2268</v>
      </c>
      <c r="B686" s="96" t="s">
        <v>552</v>
      </c>
      <c r="C686" s="95">
        <v>2006</v>
      </c>
      <c r="F686" s="101">
        <v>6.8</v>
      </c>
      <c r="G686" s="103"/>
      <c r="H686" s="104"/>
      <c r="I686" s="101">
        <v>6.31</v>
      </c>
      <c r="J686" s="99">
        <f>Table336789101112131415[[#This Row],[Sched C/ County/ State]]-Table336789101112131415[[#This Row],[2025 Rate]]</f>
        <v>0.49</v>
      </c>
    </row>
    <row r="687" spans="1:10" ht="30" x14ac:dyDescent="0.2">
      <c r="A687" s="93">
        <v>2271</v>
      </c>
      <c r="B687" s="96" t="s">
        <v>558</v>
      </c>
      <c r="C687" s="95">
        <v>2007</v>
      </c>
      <c r="F687" s="101">
        <v>6.8</v>
      </c>
      <c r="G687" s="103"/>
      <c r="H687" s="104"/>
      <c r="I687" s="101">
        <v>6.31</v>
      </c>
      <c r="J687" s="99">
        <f>Table336789101112131415[[#This Row],[Sched C/ County/ State]]-Table336789101112131415[[#This Row],[2025 Rate]]</f>
        <v>0.49</v>
      </c>
    </row>
    <row r="688" spans="1:10" x14ac:dyDescent="0.2">
      <c r="A688" s="93">
        <v>2275</v>
      </c>
      <c r="B688" s="96" t="s">
        <v>562</v>
      </c>
      <c r="C688" s="95">
        <v>2007</v>
      </c>
      <c r="F688" s="101">
        <v>8.9499999999999993</v>
      </c>
      <c r="G688" s="103"/>
      <c r="H688" s="104"/>
      <c r="I688" s="101">
        <v>8.3800000000000008</v>
      </c>
      <c r="J688" s="99">
        <f>Table336789101112131415[[#This Row],[Sched C/ County/ State]]-Table336789101112131415[[#This Row],[2025 Rate]]</f>
        <v>0.56999999999999995</v>
      </c>
    </row>
    <row r="689" spans="1:10" ht="30" x14ac:dyDescent="0.2">
      <c r="A689" s="93">
        <v>2276</v>
      </c>
      <c r="B689" s="96" t="s">
        <v>561</v>
      </c>
      <c r="C689" s="95"/>
      <c r="F689" s="101">
        <v>8.9499999999999993</v>
      </c>
      <c r="G689" s="103"/>
      <c r="H689" s="104"/>
      <c r="I689" s="101">
        <v>8.3800000000000008</v>
      </c>
      <c r="J689" s="99">
        <f>Table336789101112131415[[#This Row],[Sched C/ County/ State]]-Table336789101112131415[[#This Row],[2025 Rate]]</f>
        <v>0.56999999999999995</v>
      </c>
    </row>
    <row r="690" spans="1:10" ht="30" x14ac:dyDescent="0.2">
      <c r="A690" s="93">
        <v>2277</v>
      </c>
      <c r="B690" s="96" t="s">
        <v>563</v>
      </c>
      <c r="C690" s="95">
        <v>2006</v>
      </c>
      <c r="F690" s="101">
        <v>6.8</v>
      </c>
      <c r="G690" s="103"/>
      <c r="H690" s="104"/>
      <c r="I690" s="101">
        <v>6.31</v>
      </c>
      <c r="J690" s="99">
        <f>Table336789101112131415[[#This Row],[Sched C/ County/ State]]-Table336789101112131415[[#This Row],[2025 Rate]]</f>
        <v>0.49</v>
      </c>
    </row>
    <row r="691" spans="1:10" x14ac:dyDescent="0.2">
      <c r="A691" s="93">
        <v>2279</v>
      </c>
      <c r="B691" s="96" t="s">
        <v>564</v>
      </c>
      <c r="C691" s="95">
        <v>2006</v>
      </c>
      <c r="F691" s="101">
        <v>6.8</v>
      </c>
      <c r="G691" s="103"/>
      <c r="H691" s="104"/>
      <c r="I691" s="101">
        <v>6.31</v>
      </c>
      <c r="J691" s="99">
        <f>Table336789101112131415[[#This Row],[Sched C/ County/ State]]-Table336789101112131415[[#This Row],[2025 Rate]]</f>
        <v>0.49</v>
      </c>
    </row>
    <row r="692" spans="1:10" x14ac:dyDescent="0.2">
      <c r="A692" s="93">
        <v>2280</v>
      </c>
      <c r="B692" s="96" t="s">
        <v>565</v>
      </c>
      <c r="C692" s="95">
        <v>2009</v>
      </c>
      <c r="F692" s="101">
        <v>8.25</v>
      </c>
      <c r="G692" s="103"/>
      <c r="H692" s="104"/>
      <c r="I692" s="101">
        <v>7.72</v>
      </c>
      <c r="J692" s="99">
        <f>Table336789101112131415[[#This Row],[Sched C/ County/ State]]-Table336789101112131415[[#This Row],[2025 Rate]]</f>
        <v>0.53</v>
      </c>
    </row>
    <row r="693" spans="1:10" x14ac:dyDescent="0.2">
      <c r="A693" s="93">
        <v>2281</v>
      </c>
      <c r="B693" s="96" t="s">
        <v>566</v>
      </c>
      <c r="C693" s="95">
        <v>2009</v>
      </c>
      <c r="F693" s="101">
        <v>6.8</v>
      </c>
      <c r="G693" s="103"/>
      <c r="H693" s="104"/>
      <c r="I693" s="101">
        <v>6.31</v>
      </c>
      <c r="J693" s="99">
        <f>Table336789101112131415[[#This Row],[Sched C/ County/ State]]-Table336789101112131415[[#This Row],[2025 Rate]]</f>
        <v>0.49</v>
      </c>
    </row>
    <row r="694" spans="1:10" x14ac:dyDescent="0.2">
      <c r="A694" s="93">
        <v>2282</v>
      </c>
      <c r="B694" s="96" t="s">
        <v>99</v>
      </c>
      <c r="C694" s="95">
        <v>2014</v>
      </c>
      <c r="D694" s="96" t="s">
        <v>205</v>
      </c>
      <c r="E694" s="96" t="s">
        <v>567</v>
      </c>
      <c r="F694" s="101">
        <v>11.55</v>
      </c>
      <c r="G694" s="103"/>
      <c r="H694" s="104"/>
      <c r="I694" s="101">
        <v>10.81</v>
      </c>
      <c r="J694" s="99">
        <f>Table336789101112131415[[#This Row],[Sched C/ County/ State]]-Table336789101112131415[[#This Row],[2025 Rate]]</f>
        <v>0.74</v>
      </c>
    </row>
    <row r="695" spans="1:10" x14ac:dyDescent="0.2">
      <c r="A695" s="93">
        <v>2283</v>
      </c>
      <c r="B695" s="94" t="s">
        <v>562</v>
      </c>
      <c r="C695" s="95">
        <v>2015</v>
      </c>
      <c r="F695" s="101">
        <v>8.9499999999999993</v>
      </c>
      <c r="G695" s="105"/>
      <c r="H695" s="106"/>
      <c r="I695" s="101">
        <v>8.3800000000000008</v>
      </c>
      <c r="J695" s="99">
        <f>Table336789101112131415[[#This Row],[Sched C/ County/ State]]-Table336789101112131415[[#This Row],[2025 Rate]]</f>
        <v>0.56999999999999995</v>
      </c>
    </row>
    <row r="696" spans="1:10" x14ac:dyDescent="0.2">
      <c r="A696" s="93">
        <v>2285</v>
      </c>
      <c r="B696" s="94" t="s">
        <v>568</v>
      </c>
      <c r="C696" s="95">
        <v>2015</v>
      </c>
      <c r="F696" s="101">
        <v>6.86</v>
      </c>
      <c r="G696" s="105"/>
      <c r="H696" s="106"/>
      <c r="I696" s="101">
        <v>6.42</v>
      </c>
      <c r="J696" s="99">
        <f>Table336789101112131415[[#This Row],[Sched C/ County/ State]]-Table336789101112131415[[#This Row],[2025 Rate]]</f>
        <v>0.44</v>
      </c>
    </row>
    <row r="697" spans="1:10" x14ac:dyDescent="0.2">
      <c r="A697" s="93">
        <v>2286</v>
      </c>
      <c r="B697" s="94" t="s">
        <v>99</v>
      </c>
      <c r="C697" s="95">
        <v>2015</v>
      </c>
      <c r="D697" s="96" t="s">
        <v>205</v>
      </c>
      <c r="F697" s="101">
        <v>4.93</v>
      </c>
      <c r="G697" s="105"/>
      <c r="H697" s="106"/>
      <c r="I697" s="101">
        <v>4.6100000000000003</v>
      </c>
      <c r="J697" s="99">
        <f>Table336789101112131415[[#This Row],[Sched C/ County/ State]]-Table336789101112131415[[#This Row],[2025 Rate]]</f>
        <v>0.32</v>
      </c>
    </row>
    <row r="698" spans="1:10" x14ac:dyDescent="0.2">
      <c r="A698" s="93">
        <v>2287</v>
      </c>
      <c r="B698" s="94" t="s">
        <v>99</v>
      </c>
      <c r="C698" s="95">
        <v>2015</v>
      </c>
      <c r="D698" s="96" t="s">
        <v>205</v>
      </c>
      <c r="F698" s="101">
        <v>10.81</v>
      </c>
      <c r="G698" s="105"/>
      <c r="H698" s="106"/>
      <c r="I698" s="101">
        <v>10.81</v>
      </c>
      <c r="J698" s="99">
        <f>Table336789101112131415[[#This Row],[Sched C/ County/ State]]-Table336789101112131415[[#This Row],[2025 Rate]]</f>
        <v>0</v>
      </c>
    </row>
    <row r="699" spans="1:10" ht="30" x14ac:dyDescent="0.2">
      <c r="A699" s="93">
        <v>2292</v>
      </c>
      <c r="B699" s="94" t="s">
        <v>454</v>
      </c>
      <c r="C699" s="95">
        <v>2015</v>
      </c>
      <c r="D699" s="96" t="s">
        <v>569</v>
      </c>
      <c r="E699" s="96">
        <v>222</v>
      </c>
      <c r="F699" s="101">
        <v>6.17</v>
      </c>
      <c r="G699" s="105"/>
      <c r="H699" s="106"/>
      <c r="I699" s="101">
        <v>5.77</v>
      </c>
      <c r="J699" s="99">
        <f>Table336789101112131415[[#This Row],[Sched C/ County/ State]]-Table336789101112131415[[#This Row],[2025 Rate]]</f>
        <v>0.4</v>
      </c>
    </row>
    <row r="700" spans="1:10" ht="30" x14ac:dyDescent="0.2">
      <c r="A700" s="93">
        <v>2293</v>
      </c>
      <c r="B700" s="94" t="s">
        <v>454</v>
      </c>
      <c r="C700" s="95">
        <v>2015</v>
      </c>
      <c r="D700" s="96" t="s">
        <v>569</v>
      </c>
      <c r="F700" s="101">
        <v>6.17</v>
      </c>
      <c r="G700" s="105"/>
      <c r="H700" s="106"/>
      <c r="I700" s="101">
        <v>5.77</v>
      </c>
      <c r="J700" s="99">
        <f>Table336789101112131415[[#This Row],[Sched C/ County/ State]]-Table336789101112131415[[#This Row],[2025 Rate]]</f>
        <v>0.4</v>
      </c>
    </row>
    <row r="701" spans="1:10" ht="30" x14ac:dyDescent="0.2">
      <c r="A701" s="93">
        <v>2296</v>
      </c>
      <c r="B701" s="96" t="s">
        <v>454</v>
      </c>
      <c r="C701" s="95">
        <v>2013</v>
      </c>
      <c r="D701" s="96" t="s">
        <v>570</v>
      </c>
      <c r="E701" s="96" t="s">
        <v>571</v>
      </c>
      <c r="F701" s="101">
        <v>6.17</v>
      </c>
      <c r="G701" s="103"/>
      <c r="H701" s="104"/>
      <c r="I701" s="101">
        <v>5.77</v>
      </c>
      <c r="J701" s="99">
        <f>Table336789101112131415[[#This Row],[Sched C/ County/ State]]-Table336789101112131415[[#This Row],[2025 Rate]]</f>
        <v>0.4</v>
      </c>
    </row>
    <row r="702" spans="1:10" ht="30" x14ac:dyDescent="0.2">
      <c r="A702" s="93">
        <v>2299</v>
      </c>
      <c r="B702" s="96" t="s">
        <v>454</v>
      </c>
      <c r="C702" s="95">
        <v>2010</v>
      </c>
      <c r="D702" s="96" t="s">
        <v>570</v>
      </c>
      <c r="E702" s="96" t="s">
        <v>572</v>
      </c>
      <c r="F702" s="101">
        <v>6.17</v>
      </c>
      <c r="G702" s="103"/>
      <c r="H702" s="104"/>
      <c r="I702" s="101">
        <v>5.77</v>
      </c>
      <c r="J702" s="99">
        <f>Table336789101112131415[[#This Row],[Sched C/ County/ State]]-Table336789101112131415[[#This Row],[2025 Rate]]</f>
        <v>0.4</v>
      </c>
    </row>
    <row r="703" spans="1:10" x14ac:dyDescent="0.2">
      <c r="A703" s="93">
        <v>2300</v>
      </c>
      <c r="B703" s="96" t="s">
        <v>573</v>
      </c>
      <c r="C703" s="95">
        <v>2011</v>
      </c>
      <c r="D703" s="96" t="s">
        <v>521</v>
      </c>
      <c r="F703" s="101">
        <v>10.3</v>
      </c>
      <c r="G703" s="103"/>
      <c r="H703" s="104"/>
      <c r="I703" s="101">
        <v>9.56</v>
      </c>
      <c r="J703" s="99">
        <f>Table336789101112131415[[#This Row],[Sched C/ County/ State]]-Table336789101112131415[[#This Row],[2025 Rate]]</f>
        <v>0.74</v>
      </c>
    </row>
    <row r="704" spans="1:10" x14ac:dyDescent="0.2">
      <c r="A704" s="93">
        <v>2301</v>
      </c>
      <c r="B704" s="96" t="s">
        <v>574</v>
      </c>
      <c r="C704" s="95">
        <v>2011</v>
      </c>
      <c r="D704" s="96" t="s">
        <v>575</v>
      </c>
      <c r="E704" s="96" t="s">
        <v>576</v>
      </c>
      <c r="F704" s="101">
        <v>4.1399999999999997</v>
      </c>
      <c r="G704" s="103"/>
      <c r="H704" s="104"/>
      <c r="I704" s="101">
        <v>3.87</v>
      </c>
      <c r="J704" s="99">
        <f>Table336789101112131415[[#This Row],[Sched C/ County/ State]]-Table336789101112131415[[#This Row],[2025 Rate]]</f>
        <v>0.27</v>
      </c>
    </row>
    <row r="705" spans="1:10" x14ac:dyDescent="0.2">
      <c r="A705" s="93">
        <v>2303</v>
      </c>
      <c r="B705" s="96" t="s">
        <v>577</v>
      </c>
      <c r="C705" s="95">
        <v>2011</v>
      </c>
      <c r="D705" s="96" t="s">
        <v>575</v>
      </c>
      <c r="E705" s="96" t="s">
        <v>578</v>
      </c>
      <c r="F705" s="101">
        <v>4.2699999999999996</v>
      </c>
      <c r="G705" s="103"/>
      <c r="H705" s="104"/>
      <c r="I705" s="101">
        <v>4</v>
      </c>
      <c r="J705" s="99">
        <f>Table336789101112131415[[#This Row],[Sched C/ County/ State]]-Table336789101112131415[[#This Row],[2025 Rate]]</f>
        <v>0.27</v>
      </c>
    </row>
    <row r="706" spans="1:10" ht="30" x14ac:dyDescent="0.2">
      <c r="A706" s="93">
        <v>2304</v>
      </c>
      <c r="B706" s="96" t="s">
        <v>174</v>
      </c>
      <c r="C706" s="95">
        <v>2010</v>
      </c>
      <c r="D706" s="96" t="s">
        <v>579</v>
      </c>
      <c r="F706" s="101">
        <v>0.59</v>
      </c>
      <c r="G706" s="103"/>
      <c r="H706" s="104"/>
      <c r="I706" s="101">
        <v>0.55000000000000004</v>
      </c>
      <c r="J706" s="99">
        <f>Table336789101112131415[[#This Row],[Sched C/ County/ State]]-Table336789101112131415[[#This Row],[2025 Rate]]</f>
        <v>0.04</v>
      </c>
    </row>
    <row r="707" spans="1:10" x14ac:dyDescent="0.2">
      <c r="A707" s="93">
        <v>2305</v>
      </c>
      <c r="B707" s="96" t="s">
        <v>174</v>
      </c>
      <c r="C707" s="95">
        <v>2010</v>
      </c>
      <c r="D707" s="96" t="s">
        <v>444</v>
      </c>
      <c r="F707" s="101">
        <v>0.59</v>
      </c>
      <c r="G707" s="103"/>
      <c r="H707" s="104"/>
      <c r="I707" s="101">
        <v>0.55000000000000004</v>
      </c>
      <c r="J707" s="99">
        <f>Table336789101112131415[[#This Row],[Sched C/ County/ State]]-Table336789101112131415[[#This Row],[2025 Rate]]</f>
        <v>0.04</v>
      </c>
    </row>
    <row r="708" spans="1:10" ht="30" x14ac:dyDescent="0.2">
      <c r="A708" s="93">
        <v>2306</v>
      </c>
      <c r="B708" s="96" t="s">
        <v>174</v>
      </c>
      <c r="C708" s="95">
        <v>2010</v>
      </c>
      <c r="D708" s="96" t="s">
        <v>579</v>
      </c>
      <c r="F708" s="101">
        <v>0.59</v>
      </c>
      <c r="G708" s="103"/>
      <c r="H708" s="104"/>
      <c r="I708" s="101">
        <v>0.55000000000000004</v>
      </c>
      <c r="J708" s="99">
        <f>Table336789101112131415[[#This Row],[Sched C/ County/ State]]-Table336789101112131415[[#This Row],[2025 Rate]]</f>
        <v>0.04</v>
      </c>
    </row>
    <row r="709" spans="1:10" x14ac:dyDescent="0.2">
      <c r="A709" s="93">
        <v>2307</v>
      </c>
      <c r="B709" s="96" t="s">
        <v>174</v>
      </c>
      <c r="C709" s="95">
        <v>2010</v>
      </c>
      <c r="D709" s="96" t="s">
        <v>580</v>
      </c>
      <c r="F709" s="101">
        <v>0.59</v>
      </c>
      <c r="G709" s="103"/>
      <c r="H709" s="104"/>
      <c r="I709" s="101">
        <v>0.55000000000000004</v>
      </c>
      <c r="J709" s="99">
        <f>Table336789101112131415[[#This Row],[Sched C/ County/ State]]-Table336789101112131415[[#This Row],[2025 Rate]]</f>
        <v>0.04</v>
      </c>
    </row>
    <row r="710" spans="1:10" x14ac:dyDescent="0.2">
      <c r="A710" s="93">
        <v>2308</v>
      </c>
      <c r="B710" s="96" t="s">
        <v>581</v>
      </c>
      <c r="C710" s="95">
        <v>2010</v>
      </c>
      <c r="D710" s="96" t="s">
        <v>582</v>
      </c>
      <c r="E710" s="96" t="s">
        <v>583</v>
      </c>
      <c r="F710" s="101">
        <v>1.02</v>
      </c>
      <c r="G710" s="103"/>
      <c r="H710" s="104"/>
      <c r="I710" s="101">
        <v>0.95</v>
      </c>
      <c r="J710" s="99">
        <f>Table336789101112131415[[#This Row],[Sched C/ County/ State]]-Table336789101112131415[[#This Row],[2025 Rate]]</f>
        <v>7.0000000000000007E-2</v>
      </c>
    </row>
    <row r="711" spans="1:10" x14ac:dyDescent="0.2">
      <c r="A711" s="93">
        <v>2316</v>
      </c>
      <c r="B711" s="96" t="s">
        <v>584</v>
      </c>
      <c r="C711" s="95">
        <v>2012</v>
      </c>
      <c r="D711" s="96" t="s">
        <v>585</v>
      </c>
      <c r="E711" s="96" t="s">
        <v>586</v>
      </c>
      <c r="F711" s="101">
        <v>43.04</v>
      </c>
      <c r="G711" s="103"/>
      <c r="H711" s="104"/>
      <c r="I711" s="101">
        <v>40.28</v>
      </c>
      <c r="J711" s="99">
        <f>Table336789101112131415[[#This Row],[Sched C/ County/ State]]-Table336789101112131415[[#This Row],[2025 Rate]]</f>
        <v>2.76</v>
      </c>
    </row>
    <row r="712" spans="1:10" ht="30" x14ac:dyDescent="0.2">
      <c r="A712" s="93">
        <v>2319</v>
      </c>
      <c r="B712" s="96" t="s">
        <v>587</v>
      </c>
      <c r="C712" s="95">
        <v>2011</v>
      </c>
      <c r="D712" s="96" t="s">
        <v>588</v>
      </c>
      <c r="E712" s="96" t="s">
        <v>589</v>
      </c>
      <c r="F712" s="101">
        <v>25.12</v>
      </c>
      <c r="G712" s="103"/>
      <c r="H712" s="104"/>
      <c r="I712" s="101">
        <v>23.51</v>
      </c>
      <c r="J712" s="99">
        <f>Table336789101112131415[[#This Row],[Sched C/ County/ State]]-Table336789101112131415[[#This Row],[2025 Rate]]</f>
        <v>1.61</v>
      </c>
    </row>
    <row r="713" spans="1:10" x14ac:dyDescent="0.2">
      <c r="A713" s="93">
        <v>2321</v>
      </c>
      <c r="B713" s="96" t="s">
        <v>590</v>
      </c>
      <c r="C713" s="95">
        <v>2012</v>
      </c>
      <c r="D713" s="96" t="s">
        <v>585</v>
      </c>
      <c r="E713" s="96" t="s">
        <v>586</v>
      </c>
      <c r="F713" s="101">
        <v>43.04</v>
      </c>
      <c r="G713" s="103"/>
      <c r="H713" s="104"/>
      <c r="I713" s="101">
        <v>40.28</v>
      </c>
      <c r="J713" s="99">
        <f>Table336789101112131415[[#This Row],[Sched C/ County/ State]]-Table336789101112131415[[#This Row],[2025 Rate]]</f>
        <v>2.76</v>
      </c>
    </row>
    <row r="714" spans="1:10" x14ac:dyDescent="0.2">
      <c r="A714" s="93">
        <v>2322</v>
      </c>
      <c r="B714" s="96" t="s">
        <v>174</v>
      </c>
      <c r="C714" s="95">
        <v>2010</v>
      </c>
      <c r="D714" s="96" t="s">
        <v>444</v>
      </c>
      <c r="F714" s="101">
        <v>0.59</v>
      </c>
      <c r="G714" s="103"/>
      <c r="H714" s="104"/>
      <c r="I714" s="101">
        <v>0.55000000000000004</v>
      </c>
      <c r="J714" s="99">
        <f>Table336789101112131415[[#This Row],[Sched C/ County/ State]]-Table336789101112131415[[#This Row],[2025 Rate]]</f>
        <v>0.04</v>
      </c>
    </row>
    <row r="715" spans="1:10" x14ac:dyDescent="0.2">
      <c r="A715" s="93">
        <v>2323</v>
      </c>
      <c r="B715" s="96" t="s">
        <v>174</v>
      </c>
      <c r="C715" s="95">
        <v>2010</v>
      </c>
      <c r="D715" s="96" t="s">
        <v>444</v>
      </c>
      <c r="F715" s="101">
        <v>0.59</v>
      </c>
      <c r="G715" s="103"/>
      <c r="H715" s="104"/>
      <c r="I715" s="101">
        <v>0.55000000000000004</v>
      </c>
      <c r="J715" s="99">
        <f>Table336789101112131415[[#This Row],[Sched C/ County/ State]]-Table336789101112131415[[#This Row],[2025 Rate]]</f>
        <v>0.04</v>
      </c>
    </row>
    <row r="716" spans="1:10" ht="30" x14ac:dyDescent="0.2">
      <c r="A716" s="93">
        <v>2325</v>
      </c>
      <c r="B716" s="96" t="s">
        <v>591</v>
      </c>
      <c r="C716" s="95">
        <v>2011</v>
      </c>
      <c r="D716" s="96" t="s">
        <v>262</v>
      </c>
      <c r="E716" s="96" t="s">
        <v>592</v>
      </c>
      <c r="F716" s="101">
        <v>235.36</v>
      </c>
      <c r="G716" s="103"/>
      <c r="H716" s="104"/>
      <c r="I716" s="101">
        <v>220.25</v>
      </c>
      <c r="J716" s="99">
        <f>Table336789101112131415[[#This Row],[Sched C/ County/ State]]-Table336789101112131415[[#This Row],[2025 Rate]]</f>
        <v>15.11</v>
      </c>
    </row>
    <row r="717" spans="1:10" x14ac:dyDescent="0.2">
      <c r="A717" s="93">
        <v>2326</v>
      </c>
      <c r="B717" s="96" t="s">
        <v>593</v>
      </c>
      <c r="C717" s="95">
        <v>2012</v>
      </c>
      <c r="D717" s="96" t="s">
        <v>148</v>
      </c>
      <c r="F717" s="101">
        <v>66.489999999999995</v>
      </c>
      <c r="G717" s="103"/>
      <c r="H717" s="104"/>
      <c r="I717" s="101">
        <v>62.22</v>
      </c>
      <c r="J717" s="99">
        <f>Table336789101112131415[[#This Row],[Sched C/ County/ State]]-Table336789101112131415[[#This Row],[2025 Rate]]</f>
        <v>4.2699999999999996</v>
      </c>
    </row>
    <row r="718" spans="1:10" x14ac:dyDescent="0.2">
      <c r="A718" s="93">
        <v>2327</v>
      </c>
      <c r="B718" s="96" t="s">
        <v>594</v>
      </c>
      <c r="C718" s="95">
        <v>2012</v>
      </c>
      <c r="D718" s="96" t="s">
        <v>595</v>
      </c>
      <c r="E718" s="96" t="s">
        <v>596</v>
      </c>
      <c r="F718" s="101">
        <v>18.91</v>
      </c>
      <c r="G718" s="103"/>
      <c r="H718" s="104"/>
      <c r="I718" s="101">
        <v>17.7</v>
      </c>
      <c r="J718" s="99">
        <f>Table336789101112131415[[#This Row],[Sched C/ County/ State]]-Table336789101112131415[[#This Row],[2025 Rate]]</f>
        <v>1.21</v>
      </c>
    </row>
    <row r="719" spans="1:10" x14ac:dyDescent="0.2">
      <c r="A719" s="93">
        <v>2332</v>
      </c>
      <c r="B719" s="96" t="s">
        <v>597</v>
      </c>
      <c r="C719" s="95">
        <v>2012</v>
      </c>
      <c r="D719" s="96" t="s">
        <v>598</v>
      </c>
      <c r="E719" s="96" t="s">
        <v>599</v>
      </c>
      <c r="F719" s="101">
        <v>15.26</v>
      </c>
      <c r="G719" s="103"/>
      <c r="H719" s="104"/>
      <c r="I719" s="101">
        <v>14.28</v>
      </c>
      <c r="J719" s="99">
        <f>Table336789101112131415[[#This Row],[Sched C/ County/ State]]-Table336789101112131415[[#This Row],[2025 Rate]]</f>
        <v>0.98</v>
      </c>
    </row>
    <row r="720" spans="1:10" x14ac:dyDescent="0.2">
      <c r="A720" s="93">
        <v>2338</v>
      </c>
      <c r="B720" s="96" t="s">
        <v>174</v>
      </c>
      <c r="C720" s="95">
        <v>2010</v>
      </c>
      <c r="D720" s="96" t="s">
        <v>175</v>
      </c>
      <c r="F720" s="101">
        <v>0.59</v>
      </c>
      <c r="G720" s="103"/>
      <c r="H720" s="104"/>
      <c r="I720" s="101">
        <v>0.55000000000000004</v>
      </c>
      <c r="J720" s="99">
        <f>Table336789101112131415[[#This Row],[Sched C/ County/ State]]-Table336789101112131415[[#This Row],[2025 Rate]]</f>
        <v>0.04</v>
      </c>
    </row>
    <row r="721" spans="1:10" x14ac:dyDescent="0.2">
      <c r="A721" s="93">
        <v>2339</v>
      </c>
      <c r="B721" s="96" t="s">
        <v>174</v>
      </c>
      <c r="C721" s="95">
        <v>2010</v>
      </c>
      <c r="D721" s="96" t="s">
        <v>175</v>
      </c>
      <c r="F721" s="101">
        <v>0.59</v>
      </c>
      <c r="G721" s="103"/>
      <c r="H721" s="104"/>
      <c r="I721" s="101">
        <v>0.55000000000000004</v>
      </c>
      <c r="J721" s="99">
        <f>Table336789101112131415[[#This Row],[Sched C/ County/ State]]-Table336789101112131415[[#This Row],[2025 Rate]]</f>
        <v>0.04</v>
      </c>
    </row>
    <row r="722" spans="1:10" x14ac:dyDescent="0.2">
      <c r="A722" s="93">
        <v>2340</v>
      </c>
      <c r="B722" s="96" t="s">
        <v>174</v>
      </c>
      <c r="C722" s="95">
        <v>2010</v>
      </c>
      <c r="D722" s="96" t="s">
        <v>175</v>
      </c>
      <c r="F722" s="101">
        <v>0.59</v>
      </c>
      <c r="G722" s="103"/>
      <c r="H722" s="104"/>
      <c r="I722" s="101">
        <v>0.55000000000000004</v>
      </c>
      <c r="J722" s="99">
        <f>Table336789101112131415[[#This Row],[Sched C/ County/ State]]-Table336789101112131415[[#This Row],[2025 Rate]]</f>
        <v>0.04</v>
      </c>
    </row>
    <row r="723" spans="1:10" x14ac:dyDescent="0.2">
      <c r="A723" s="93">
        <v>2341</v>
      </c>
      <c r="B723" s="96" t="s">
        <v>174</v>
      </c>
      <c r="C723" s="95">
        <v>2010</v>
      </c>
      <c r="D723" s="96" t="s">
        <v>580</v>
      </c>
      <c r="F723" s="101">
        <v>0.59</v>
      </c>
      <c r="G723" s="103"/>
      <c r="H723" s="104"/>
      <c r="I723" s="101">
        <v>0.55000000000000004</v>
      </c>
      <c r="J723" s="99">
        <f>Table336789101112131415[[#This Row],[Sched C/ County/ State]]-Table336789101112131415[[#This Row],[2025 Rate]]</f>
        <v>0.04</v>
      </c>
    </row>
    <row r="724" spans="1:10" x14ac:dyDescent="0.2">
      <c r="A724" s="93">
        <v>2358</v>
      </c>
      <c r="B724" s="96" t="s">
        <v>532</v>
      </c>
      <c r="C724" s="95">
        <v>2012</v>
      </c>
      <c r="D724" s="96" t="s">
        <v>533</v>
      </c>
      <c r="E724" s="96" t="s">
        <v>600</v>
      </c>
      <c r="F724" s="101">
        <v>6.98</v>
      </c>
      <c r="G724" s="103"/>
      <c r="H724" s="104"/>
      <c r="I724" s="101">
        <v>6.48</v>
      </c>
      <c r="J724" s="99">
        <f>Table336789101112131415[[#This Row],[Sched C/ County/ State]]-Table336789101112131415[[#This Row],[2025 Rate]]</f>
        <v>0.5</v>
      </c>
    </row>
    <row r="725" spans="1:10" x14ac:dyDescent="0.2">
      <c r="A725" s="93">
        <v>2359</v>
      </c>
      <c r="B725" s="96" t="s">
        <v>498</v>
      </c>
      <c r="C725" s="95">
        <v>2013</v>
      </c>
      <c r="D725" s="96" t="s">
        <v>601</v>
      </c>
      <c r="E725" s="96" t="s">
        <v>602</v>
      </c>
      <c r="F725" s="101">
        <v>1.2</v>
      </c>
      <c r="G725" s="103"/>
      <c r="H725" s="104"/>
      <c r="I725" s="101">
        <v>1.1200000000000001</v>
      </c>
      <c r="J725" s="99">
        <f>Table336789101112131415[[#This Row],[Sched C/ County/ State]]-Table336789101112131415[[#This Row],[2025 Rate]]</f>
        <v>0.08</v>
      </c>
    </row>
    <row r="726" spans="1:10" x14ac:dyDescent="0.2">
      <c r="A726" s="93">
        <v>2360</v>
      </c>
      <c r="B726" s="96" t="s">
        <v>193</v>
      </c>
      <c r="C726" s="95"/>
      <c r="D726" s="96" t="s">
        <v>603</v>
      </c>
      <c r="E726" s="96" t="s">
        <v>604</v>
      </c>
      <c r="F726" s="101">
        <v>5.12</v>
      </c>
      <c r="G726" s="103"/>
      <c r="H726" s="104"/>
      <c r="I726" s="101">
        <v>4.75</v>
      </c>
      <c r="J726" s="99">
        <f>Table336789101112131415[[#This Row],[Sched C/ County/ State]]-Table336789101112131415[[#This Row],[2025 Rate]]</f>
        <v>0.37</v>
      </c>
    </row>
    <row r="727" spans="1:10" x14ac:dyDescent="0.2">
      <c r="A727" s="93">
        <v>2362</v>
      </c>
      <c r="B727" s="96" t="s">
        <v>605</v>
      </c>
      <c r="C727" s="95">
        <v>2014</v>
      </c>
      <c r="D727" s="96" t="s">
        <v>205</v>
      </c>
      <c r="F727" s="101">
        <v>44.12</v>
      </c>
      <c r="G727" s="103"/>
      <c r="H727" s="104"/>
      <c r="I727" s="101">
        <v>41.29</v>
      </c>
      <c r="J727" s="99">
        <f>Table336789101112131415[[#This Row],[Sched C/ County/ State]]-Table336789101112131415[[#This Row],[2025 Rate]]</f>
        <v>2.83</v>
      </c>
    </row>
    <row r="728" spans="1:10" x14ac:dyDescent="0.2">
      <c r="A728" s="93">
        <v>2385</v>
      </c>
      <c r="B728" s="96" t="s">
        <v>554</v>
      </c>
      <c r="C728" s="95">
        <v>2002</v>
      </c>
      <c r="D728" s="96" t="s">
        <v>170</v>
      </c>
      <c r="E728" s="96" t="s">
        <v>606</v>
      </c>
      <c r="F728" s="101">
        <v>7.94</v>
      </c>
      <c r="G728" s="103"/>
      <c r="H728" s="104"/>
      <c r="I728" s="101">
        <v>7.36</v>
      </c>
      <c r="J728" s="99">
        <f>Table336789101112131415[[#This Row],[Sched C/ County/ State]]-Table336789101112131415[[#This Row],[2025 Rate]]</f>
        <v>0.57999999999999996</v>
      </c>
    </row>
    <row r="729" spans="1:10" ht="30" x14ac:dyDescent="0.2">
      <c r="A729" s="93">
        <v>2389</v>
      </c>
      <c r="B729" s="96" t="s">
        <v>607</v>
      </c>
      <c r="C729" s="95">
        <v>2001</v>
      </c>
      <c r="D729" s="96" t="s">
        <v>170</v>
      </c>
      <c r="E729" s="96" t="s">
        <v>608</v>
      </c>
      <c r="F729" s="101">
        <v>13.86</v>
      </c>
      <c r="G729" s="103"/>
      <c r="H729" s="104"/>
      <c r="I729" s="101">
        <v>12.97</v>
      </c>
      <c r="J729" s="99">
        <f>Table336789101112131415[[#This Row],[Sched C/ County/ State]]-Table336789101112131415[[#This Row],[2025 Rate]]</f>
        <v>0.89</v>
      </c>
    </row>
    <row r="730" spans="1:10" x14ac:dyDescent="0.2">
      <c r="A730" s="93">
        <v>2400</v>
      </c>
      <c r="B730" s="96" t="s">
        <v>535</v>
      </c>
      <c r="C730" s="95">
        <v>2006</v>
      </c>
      <c r="D730" s="96" t="s">
        <v>609</v>
      </c>
      <c r="E730" s="96" t="s">
        <v>610</v>
      </c>
      <c r="F730" s="101">
        <v>28.93</v>
      </c>
      <c r="G730" s="103"/>
      <c r="H730" s="104"/>
      <c r="I730" s="101">
        <v>27.07</v>
      </c>
      <c r="J730" s="99">
        <f>Table336789101112131415[[#This Row],[Sched C/ County/ State]]-Table336789101112131415[[#This Row],[2025 Rate]]</f>
        <v>1.86</v>
      </c>
    </row>
    <row r="731" spans="1:10" x14ac:dyDescent="0.2">
      <c r="A731" s="93">
        <v>2402</v>
      </c>
      <c r="B731" s="96" t="s">
        <v>535</v>
      </c>
      <c r="C731" s="95">
        <v>2006</v>
      </c>
      <c r="D731" s="96" t="s">
        <v>609</v>
      </c>
      <c r="E731" s="96" t="s">
        <v>610</v>
      </c>
      <c r="F731" s="101">
        <v>28.93</v>
      </c>
      <c r="G731" s="103"/>
      <c r="H731" s="104"/>
      <c r="I731" s="101">
        <v>27.07</v>
      </c>
      <c r="J731" s="99">
        <f>Table336789101112131415[[#This Row],[Sched C/ County/ State]]-Table336789101112131415[[#This Row],[2025 Rate]]</f>
        <v>1.86</v>
      </c>
    </row>
    <row r="732" spans="1:10" ht="30" x14ac:dyDescent="0.2">
      <c r="A732" s="93">
        <v>2403</v>
      </c>
      <c r="B732" s="96" t="s">
        <v>611</v>
      </c>
      <c r="C732" s="95">
        <v>2007</v>
      </c>
      <c r="D732" s="96" t="s">
        <v>612</v>
      </c>
      <c r="E732" s="96" t="s">
        <v>613</v>
      </c>
      <c r="F732" s="101">
        <v>7.16</v>
      </c>
      <c r="G732" s="103"/>
      <c r="H732" s="104"/>
      <c r="I732" s="101">
        <v>6.7</v>
      </c>
      <c r="J732" s="99">
        <f>Table336789101112131415[[#This Row],[Sched C/ County/ State]]-Table336789101112131415[[#This Row],[2025 Rate]]</f>
        <v>0.46</v>
      </c>
    </row>
    <row r="733" spans="1:10" x14ac:dyDescent="0.2">
      <c r="A733" s="93">
        <v>2404</v>
      </c>
      <c r="B733" s="96" t="s">
        <v>184</v>
      </c>
      <c r="C733" s="95">
        <v>2007</v>
      </c>
      <c r="D733" s="96" t="s">
        <v>614</v>
      </c>
      <c r="E733" s="96" t="s">
        <v>615</v>
      </c>
      <c r="F733" s="101">
        <v>0.38</v>
      </c>
      <c r="G733" s="103"/>
      <c r="H733" s="104"/>
      <c r="I733" s="101">
        <v>0.36</v>
      </c>
      <c r="J733" s="99">
        <f>Table336789101112131415[[#This Row],[Sched C/ County/ State]]-Table336789101112131415[[#This Row],[2025 Rate]]</f>
        <v>0.02</v>
      </c>
    </row>
    <row r="734" spans="1:10" x14ac:dyDescent="0.2">
      <c r="A734" s="93">
        <v>2405</v>
      </c>
      <c r="B734" s="96" t="s">
        <v>184</v>
      </c>
      <c r="C734" s="95">
        <v>2007</v>
      </c>
      <c r="D734" s="96" t="s">
        <v>614</v>
      </c>
      <c r="E734" s="96" t="s">
        <v>616</v>
      </c>
      <c r="F734" s="101">
        <v>0.38</v>
      </c>
      <c r="G734" s="103"/>
      <c r="H734" s="104"/>
      <c r="I734" s="101">
        <v>0.36</v>
      </c>
      <c r="J734" s="99">
        <f>Table336789101112131415[[#This Row],[Sched C/ County/ State]]-Table336789101112131415[[#This Row],[2025 Rate]]</f>
        <v>0.02</v>
      </c>
    </row>
    <row r="735" spans="1:10" x14ac:dyDescent="0.2">
      <c r="A735" s="93">
        <v>2407</v>
      </c>
      <c r="B735" s="96" t="s">
        <v>184</v>
      </c>
      <c r="C735" s="95">
        <v>2007</v>
      </c>
      <c r="D735" s="96" t="s">
        <v>614</v>
      </c>
      <c r="E735" s="96" t="s">
        <v>615</v>
      </c>
      <c r="F735" s="101">
        <v>0.38</v>
      </c>
      <c r="G735" s="103"/>
      <c r="H735" s="104"/>
      <c r="I735" s="101">
        <v>0.36</v>
      </c>
      <c r="J735" s="99">
        <f>Table336789101112131415[[#This Row],[Sched C/ County/ State]]-Table336789101112131415[[#This Row],[2025 Rate]]</f>
        <v>0.02</v>
      </c>
    </row>
    <row r="736" spans="1:10" x14ac:dyDescent="0.2">
      <c r="A736" s="93">
        <v>2409</v>
      </c>
      <c r="B736" s="96" t="s">
        <v>184</v>
      </c>
      <c r="C736" s="95">
        <v>2007</v>
      </c>
      <c r="D736" s="96" t="s">
        <v>614</v>
      </c>
      <c r="E736" s="96" t="s">
        <v>615</v>
      </c>
      <c r="F736" s="101">
        <v>0.38</v>
      </c>
      <c r="G736" s="103"/>
      <c r="H736" s="104"/>
      <c r="I736" s="101">
        <v>0.36</v>
      </c>
      <c r="J736" s="99">
        <f>Table336789101112131415[[#This Row],[Sched C/ County/ State]]-Table336789101112131415[[#This Row],[2025 Rate]]</f>
        <v>0.02</v>
      </c>
    </row>
    <row r="737" spans="1:10" x14ac:dyDescent="0.2">
      <c r="A737" s="93">
        <v>2410</v>
      </c>
      <c r="B737" s="96" t="s">
        <v>184</v>
      </c>
      <c r="C737" s="95">
        <v>2007</v>
      </c>
      <c r="D737" s="96" t="s">
        <v>614</v>
      </c>
      <c r="E737" s="96" t="s">
        <v>615</v>
      </c>
      <c r="F737" s="101">
        <v>0.38</v>
      </c>
      <c r="G737" s="103"/>
      <c r="H737" s="104"/>
      <c r="I737" s="101">
        <v>0.36</v>
      </c>
      <c r="J737" s="99">
        <f>Table336789101112131415[[#This Row],[Sched C/ County/ State]]-Table336789101112131415[[#This Row],[2025 Rate]]</f>
        <v>0.02</v>
      </c>
    </row>
    <row r="738" spans="1:10" x14ac:dyDescent="0.2">
      <c r="A738" s="93">
        <v>2411</v>
      </c>
      <c r="B738" s="96" t="s">
        <v>184</v>
      </c>
      <c r="C738" s="95">
        <v>2007</v>
      </c>
      <c r="D738" s="96" t="s">
        <v>614</v>
      </c>
      <c r="E738" s="96" t="s">
        <v>615</v>
      </c>
      <c r="F738" s="101">
        <v>0.38</v>
      </c>
      <c r="G738" s="103"/>
      <c r="H738" s="104"/>
      <c r="I738" s="101">
        <v>0.36</v>
      </c>
      <c r="J738" s="99">
        <f>Table336789101112131415[[#This Row],[Sched C/ County/ State]]-Table336789101112131415[[#This Row],[2025 Rate]]</f>
        <v>0.02</v>
      </c>
    </row>
    <row r="739" spans="1:10" x14ac:dyDescent="0.2">
      <c r="A739" s="93">
        <v>2412</v>
      </c>
      <c r="B739" s="96" t="s">
        <v>184</v>
      </c>
      <c r="C739" s="95">
        <v>2007</v>
      </c>
      <c r="D739" s="96" t="s">
        <v>614</v>
      </c>
      <c r="E739" s="96" t="s">
        <v>615</v>
      </c>
      <c r="F739" s="101">
        <v>0.38</v>
      </c>
      <c r="G739" s="103"/>
      <c r="H739" s="104"/>
      <c r="I739" s="101">
        <v>0.36</v>
      </c>
      <c r="J739" s="99">
        <f>Table336789101112131415[[#This Row],[Sched C/ County/ State]]-Table336789101112131415[[#This Row],[2025 Rate]]</f>
        <v>0.02</v>
      </c>
    </row>
    <row r="740" spans="1:10" x14ac:dyDescent="0.2">
      <c r="A740" s="93">
        <v>2413</v>
      </c>
      <c r="B740" s="96" t="s">
        <v>184</v>
      </c>
      <c r="C740" s="95">
        <v>2007</v>
      </c>
      <c r="D740" s="96" t="s">
        <v>614</v>
      </c>
      <c r="E740" s="96" t="s">
        <v>615</v>
      </c>
      <c r="F740" s="101">
        <v>0.38</v>
      </c>
      <c r="G740" s="103"/>
      <c r="H740" s="104"/>
      <c r="I740" s="101">
        <v>0.36</v>
      </c>
      <c r="J740" s="99">
        <f>Table336789101112131415[[#This Row],[Sched C/ County/ State]]-Table336789101112131415[[#This Row],[2025 Rate]]</f>
        <v>0.02</v>
      </c>
    </row>
    <row r="741" spans="1:10" x14ac:dyDescent="0.2">
      <c r="A741" s="93">
        <v>2414</v>
      </c>
      <c r="B741" s="96" t="s">
        <v>184</v>
      </c>
      <c r="C741" s="95">
        <v>2007</v>
      </c>
      <c r="D741" s="96" t="s">
        <v>614</v>
      </c>
      <c r="E741" s="96" t="s">
        <v>615</v>
      </c>
      <c r="F741" s="101">
        <v>0.38</v>
      </c>
      <c r="G741" s="103"/>
      <c r="H741" s="104"/>
      <c r="I741" s="101">
        <v>0.36</v>
      </c>
      <c r="J741" s="99">
        <f>Table336789101112131415[[#This Row],[Sched C/ County/ State]]-Table336789101112131415[[#This Row],[2025 Rate]]</f>
        <v>0.02</v>
      </c>
    </row>
    <row r="742" spans="1:10" x14ac:dyDescent="0.2">
      <c r="A742" s="93">
        <v>2415</v>
      </c>
      <c r="B742" s="96" t="s">
        <v>184</v>
      </c>
      <c r="C742" s="95">
        <v>2007</v>
      </c>
      <c r="D742" s="96" t="s">
        <v>614</v>
      </c>
      <c r="E742" s="96" t="s">
        <v>615</v>
      </c>
      <c r="F742" s="101">
        <v>0.38</v>
      </c>
      <c r="G742" s="103"/>
      <c r="H742" s="104"/>
      <c r="I742" s="101">
        <v>0.36</v>
      </c>
      <c r="J742" s="99">
        <f>Table336789101112131415[[#This Row],[Sched C/ County/ State]]-Table336789101112131415[[#This Row],[2025 Rate]]</f>
        <v>0.02</v>
      </c>
    </row>
    <row r="743" spans="1:10" x14ac:dyDescent="0.2">
      <c r="A743" s="93">
        <v>2426</v>
      </c>
      <c r="B743" s="96" t="s">
        <v>474</v>
      </c>
      <c r="C743" s="95">
        <v>2008</v>
      </c>
      <c r="D743" s="96" t="s">
        <v>170</v>
      </c>
      <c r="F743" s="101">
        <v>3.05</v>
      </c>
      <c r="G743" s="103"/>
      <c r="H743" s="104"/>
      <c r="I743" s="101">
        <v>2.85</v>
      </c>
      <c r="J743" s="99">
        <f>Table336789101112131415[[#This Row],[Sched C/ County/ State]]-Table336789101112131415[[#This Row],[2025 Rate]]</f>
        <v>0.2</v>
      </c>
    </row>
    <row r="744" spans="1:10" x14ac:dyDescent="0.2">
      <c r="A744" s="93">
        <v>2428</v>
      </c>
      <c r="B744" s="96" t="s">
        <v>184</v>
      </c>
      <c r="C744" s="95">
        <v>2007</v>
      </c>
      <c r="D744" s="96" t="s">
        <v>617</v>
      </c>
      <c r="E744" s="96" t="s">
        <v>618</v>
      </c>
      <c r="F744" s="101">
        <v>0.38</v>
      </c>
      <c r="G744" s="103"/>
      <c r="H744" s="104"/>
      <c r="I744" s="101">
        <v>0.36</v>
      </c>
      <c r="J744" s="99">
        <f>Table336789101112131415[[#This Row],[Sched C/ County/ State]]-Table336789101112131415[[#This Row],[2025 Rate]]</f>
        <v>0.02</v>
      </c>
    </row>
    <row r="745" spans="1:10" x14ac:dyDescent="0.2">
      <c r="A745" s="93">
        <v>2429</v>
      </c>
      <c r="B745" s="96" t="s">
        <v>184</v>
      </c>
      <c r="C745" s="95">
        <v>2007</v>
      </c>
      <c r="D745" s="96" t="s">
        <v>619</v>
      </c>
      <c r="E745" s="96" t="s">
        <v>618</v>
      </c>
      <c r="F745" s="101">
        <v>0.38</v>
      </c>
      <c r="G745" s="103"/>
      <c r="H745" s="104"/>
      <c r="I745" s="101">
        <v>0.36</v>
      </c>
      <c r="J745" s="99">
        <f>Table336789101112131415[[#This Row],[Sched C/ County/ State]]-Table336789101112131415[[#This Row],[2025 Rate]]</f>
        <v>0.02</v>
      </c>
    </row>
    <row r="746" spans="1:10" x14ac:dyDescent="0.2">
      <c r="A746" s="93">
        <v>2431</v>
      </c>
      <c r="B746" s="96" t="s">
        <v>184</v>
      </c>
      <c r="C746" s="95">
        <v>2007</v>
      </c>
      <c r="D746" s="96" t="s">
        <v>619</v>
      </c>
      <c r="E746" s="96" t="s">
        <v>618</v>
      </c>
      <c r="F746" s="101">
        <v>0.38</v>
      </c>
      <c r="G746" s="103"/>
      <c r="H746" s="104"/>
      <c r="I746" s="101">
        <v>0.36</v>
      </c>
      <c r="J746" s="99">
        <f>Table336789101112131415[[#This Row],[Sched C/ County/ State]]-Table336789101112131415[[#This Row],[2025 Rate]]</f>
        <v>0.02</v>
      </c>
    </row>
    <row r="747" spans="1:10" x14ac:dyDescent="0.2">
      <c r="A747" s="93">
        <v>2436</v>
      </c>
      <c r="B747" s="96" t="s">
        <v>159</v>
      </c>
      <c r="C747" s="95">
        <v>2006</v>
      </c>
      <c r="D747" s="96" t="s">
        <v>510</v>
      </c>
      <c r="E747" s="96" t="s">
        <v>511</v>
      </c>
      <c r="F747" s="101">
        <v>0.1</v>
      </c>
      <c r="G747" s="103"/>
      <c r="H747" s="104"/>
      <c r="I747" s="101">
        <v>0.09</v>
      </c>
      <c r="J747" s="99">
        <f>Table336789101112131415[[#This Row],[Sched C/ County/ State]]-Table336789101112131415[[#This Row],[2025 Rate]]</f>
        <v>0.01</v>
      </c>
    </row>
    <row r="748" spans="1:10" x14ac:dyDescent="0.2">
      <c r="A748" s="93">
        <v>2438</v>
      </c>
      <c r="B748" s="96" t="s">
        <v>620</v>
      </c>
      <c r="C748" s="95">
        <v>2006</v>
      </c>
      <c r="D748" s="96" t="s">
        <v>575</v>
      </c>
      <c r="E748" s="96" t="s">
        <v>621</v>
      </c>
      <c r="F748" s="101">
        <v>0.65</v>
      </c>
      <c r="G748" s="103"/>
      <c r="H748" s="104"/>
      <c r="I748" s="101">
        <v>0.61</v>
      </c>
      <c r="J748" s="99">
        <f>Table336789101112131415[[#This Row],[Sched C/ County/ State]]-Table336789101112131415[[#This Row],[2025 Rate]]</f>
        <v>0.04</v>
      </c>
    </row>
    <row r="749" spans="1:10" x14ac:dyDescent="0.2">
      <c r="A749" s="93">
        <v>2444</v>
      </c>
      <c r="B749" s="96" t="s">
        <v>622</v>
      </c>
      <c r="C749" s="95">
        <v>2008</v>
      </c>
      <c r="D749" s="96" t="s">
        <v>388</v>
      </c>
      <c r="F749" s="101">
        <v>20.03</v>
      </c>
      <c r="G749" s="103"/>
      <c r="H749" s="104"/>
      <c r="I749" s="101">
        <v>18.600000000000001</v>
      </c>
      <c r="J749" s="99">
        <f>Table336789101112131415[[#This Row],[Sched C/ County/ State]]-Table336789101112131415[[#This Row],[2025 Rate]]</f>
        <v>1.43</v>
      </c>
    </row>
    <row r="750" spans="1:10" ht="30" x14ac:dyDescent="0.2">
      <c r="A750" s="93">
        <v>2446</v>
      </c>
      <c r="B750" s="96" t="s">
        <v>623</v>
      </c>
      <c r="C750" s="95">
        <v>2007</v>
      </c>
      <c r="D750" s="96" t="s">
        <v>182</v>
      </c>
      <c r="E750" s="96" t="s">
        <v>624</v>
      </c>
      <c r="F750" s="101">
        <v>50.11</v>
      </c>
      <c r="G750" s="103"/>
      <c r="H750" s="104"/>
      <c r="I750" s="101">
        <v>46.89</v>
      </c>
      <c r="J750" s="99">
        <f>Table336789101112131415[[#This Row],[Sched C/ County/ State]]-Table336789101112131415[[#This Row],[2025 Rate]]</f>
        <v>3.22</v>
      </c>
    </row>
    <row r="751" spans="1:10" x14ac:dyDescent="0.2">
      <c r="A751" s="93">
        <v>2447</v>
      </c>
      <c r="B751" s="96" t="s">
        <v>625</v>
      </c>
      <c r="C751" s="95">
        <v>2008</v>
      </c>
      <c r="D751" s="96" t="s">
        <v>385</v>
      </c>
      <c r="E751" s="96" t="s">
        <v>626</v>
      </c>
      <c r="F751" s="101">
        <v>59.79</v>
      </c>
      <c r="G751" s="103"/>
      <c r="H751" s="104"/>
      <c r="I751" s="101">
        <v>55.95</v>
      </c>
      <c r="J751" s="99">
        <f>Table336789101112131415[[#This Row],[Sched C/ County/ State]]-Table336789101112131415[[#This Row],[2025 Rate]]</f>
        <v>3.84</v>
      </c>
    </row>
    <row r="752" spans="1:10" x14ac:dyDescent="0.2">
      <c r="A752" s="93">
        <v>2448</v>
      </c>
      <c r="B752" s="96" t="s">
        <v>625</v>
      </c>
      <c r="C752" s="95">
        <v>2008</v>
      </c>
      <c r="D752" s="96" t="s">
        <v>385</v>
      </c>
      <c r="E752" s="96" t="s">
        <v>626</v>
      </c>
      <c r="F752" s="101">
        <v>59.79</v>
      </c>
      <c r="G752" s="103"/>
      <c r="H752" s="104"/>
      <c r="I752" s="101">
        <v>55.95</v>
      </c>
      <c r="J752" s="99">
        <f>Table336789101112131415[[#This Row],[Sched C/ County/ State]]-Table336789101112131415[[#This Row],[2025 Rate]]</f>
        <v>3.84</v>
      </c>
    </row>
    <row r="753" spans="1:10" x14ac:dyDescent="0.2">
      <c r="A753" s="93">
        <v>2449</v>
      </c>
      <c r="B753" s="96" t="s">
        <v>622</v>
      </c>
      <c r="C753" s="95">
        <v>2008</v>
      </c>
      <c r="D753" s="96" t="s">
        <v>388</v>
      </c>
      <c r="F753" s="101">
        <v>20.03</v>
      </c>
      <c r="G753" s="103"/>
      <c r="H753" s="104"/>
      <c r="I753" s="101">
        <v>18.600000000000001</v>
      </c>
      <c r="J753" s="99">
        <f>Table336789101112131415[[#This Row],[Sched C/ County/ State]]-Table336789101112131415[[#This Row],[2025 Rate]]</f>
        <v>1.43</v>
      </c>
    </row>
    <row r="754" spans="1:10" x14ac:dyDescent="0.2">
      <c r="A754" s="93">
        <v>2452</v>
      </c>
      <c r="B754" s="96" t="s">
        <v>91</v>
      </c>
      <c r="C754" s="95">
        <v>2008</v>
      </c>
      <c r="D754" s="96" t="s">
        <v>385</v>
      </c>
      <c r="E754" s="96" t="s">
        <v>627</v>
      </c>
      <c r="F754" s="101">
        <v>59.79</v>
      </c>
      <c r="G754" s="103"/>
      <c r="H754" s="104"/>
      <c r="I754" s="101">
        <v>55.95</v>
      </c>
      <c r="J754" s="99">
        <f>Table336789101112131415[[#This Row],[Sched C/ County/ State]]-Table336789101112131415[[#This Row],[2025 Rate]]</f>
        <v>3.84</v>
      </c>
    </row>
    <row r="755" spans="1:10" x14ac:dyDescent="0.2">
      <c r="A755" s="93">
        <v>2453</v>
      </c>
      <c r="B755" s="96" t="s">
        <v>91</v>
      </c>
      <c r="C755" s="95">
        <v>2008</v>
      </c>
      <c r="D755" s="96" t="s">
        <v>385</v>
      </c>
      <c r="E755" s="96" t="s">
        <v>627</v>
      </c>
      <c r="F755" s="101">
        <v>59.79</v>
      </c>
      <c r="G755" s="103"/>
      <c r="H755" s="104"/>
      <c r="I755" s="101">
        <v>55.95</v>
      </c>
      <c r="J755" s="99">
        <f>Table336789101112131415[[#This Row],[Sched C/ County/ State]]-Table336789101112131415[[#This Row],[2025 Rate]]</f>
        <v>3.84</v>
      </c>
    </row>
    <row r="756" spans="1:10" x14ac:dyDescent="0.2">
      <c r="A756" s="93">
        <v>2454</v>
      </c>
      <c r="B756" s="96" t="s">
        <v>91</v>
      </c>
      <c r="C756" s="95">
        <v>2008</v>
      </c>
      <c r="D756" s="96" t="s">
        <v>385</v>
      </c>
      <c r="E756" s="96" t="s">
        <v>627</v>
      </c>
      <c r="F756" s="101">
        <v>59.79</v>
      </c>
      <c r="G756" s="103"/>
      <c r="H756" s="104"/>
      <c r="I756" s="101">
        <v>55.95</v>
      </c>
      <c r="J756" s="99">
        <f>Table336789101112131415[[#This Row],[Sched C/ County/ State]]-Table336789101112131415[[#This Row],[2025 Rate]]</f>
        <v>3.84</v>
      </c>
    </row>
    <row r="757" spans="1:10" x14ac:dyDescent="0.2">
      <c r="A757" s="93">
        <v>2455</v>
      </c>
      <c r="B757" s="96" t="s">
        <v>91</v>
      </c>
      <c r="C757" s="95">
        <v>2008</v>
      </c>
      <c r="D757" s="96" t="s">
        <v>385</v>
      </c>
      <c r="E757" s="96" t="s">
        <v>627</v>
      </c>
      <c r="F757" s="101">
        <v>59.79</v>
      </c>
      <c r="G757" s="103"/>
      <c r="H757" s="104"/>
      <c r="I757" s="101">
        <v>55.95</v>
      </c>
      <c r="J757" s="99">
        <f>Table336789101112131415[[#This Row],[Sched C/ County/ State]]-Table336789101112131415[[#This Row],[2025 Rate]]</f>
        <v>3.84</v>
      </c>
    </row>
    <row r="758" spans="1:10" x14ac:dyDescent="0.2">
      <c r="A758" s="93">
        <v>2457</v>
      </c>
      <c r="B758" s="96" t="s">
        <v>474</v>
      </c>
      <c r="C758" s="95">
        <v>2008</v>
      </c>
      <c r="F758" s="101">
        <v>3.05</v>
      </c>
      <c r="G758" s="103"/>
      <c r="H758" s="104"/>
      <c r="I758" s="101">
        <v>2.85</v>
      </c>
      <c r="J758" s="99">
        <f>Table336789101112131415[[#This Row],[Sched C/ County/ State]]-Table336789101112131415[[#This Row],[2025 Rate]]</f>
        <v>0.2</v>
      </c>
    </row>
    <row r="759" spans="1:10" x14ac:dyDescent="0.2">
      <c r="A759" s="93">
        <v>2460</v>
      </c>
      <c r="B759" s="96" t="s">
        <v>628</v>
      </c>
      <c r="C759" s="95">
        <v>2006</v>
      </c>
      <c r="D759" s="96" t="s">
        <v>629</v>
      </c>
      <c r="E759" s="96" t="s">
        <v>630</v>
      </c>
      <c r="F759" s="101">
        <v>170.44</v>
      </c>
      <c r="G759" s="103"/>
      <c r="H759" s="104"/>
      <c r="I759" s="101">
        <v>159.5</v>
      </c>
      <c r="J759" s="99">
        <f>Table336789101112131415[[#This Row],[Sched C/ County/ State]]-Table336789101112131415[[#This Row],[2025 Rate]]</f>
        <v>10.94</v>
      </c>
    </row>
    <row r="760" spans="1:10" x14ac:dyDescent="0.2">
      <c r="A760" s="93">
        <v>2461</v>
      </c>
      <c r="B760" s="96" t="s">
        <v>474</v>
      </c>
      <c r="C760" s="95">
        <v>2008</v>
      </c>
      <c r="F760" s="101">
        <v>3.05</v>
      </c>
      <c r="G760" s="103"/>
      <c r="H760" s="104"/>
      <c r="I760" s="101">
        <v>2.85</v>
      </c>
      <c r="J760" s="99">
        <f>Table336789101112131415[[#This Row],[Sched C/ County/ State]]-Table336789101112131415[[#This Row],[2025 Rate]]</f>
        <v>0.2</v>
      </c>
    </row>
    <row r="761" spans="1:10" x14ac:dyDescent="0.2">
      <c r="A761" s="93">
        <v>2462</v>
      </c>
      <c r="B761" s="96" t="s">
        <v>631</v>
      </c>
      <c r="C761" s="95">
        <v>2008</v>
      </c>
      <c r="D761" s="96" t="s">
        <v>385</v>
      </c>
      <c r="E761" s="96" t="s">
        <v>632</v>
      </c>
      <c r="F761" s="101">
        <v>59.79</v>
      </c>
      <c r="G761" s="103"/>
      <c r="H761" s="104"/>
      <c r="I761" s="101">
        <v>55.95</v>
      </c>
      <c r="J761" s="99">
        <f>Table336789101112131415[[#This Row],[Sched C/ County/ State]]-Table336789101112131415[[#This Row],[2025 Rate]]</f>
        <v>3.84</v>
      </c>
    </row>
    <row r="762" spans="1:10" ht="30" x14ac:dyDescent="0.2">
      <c r="A762" s="93">
        <v>2464</v>
      </c>
      <c r="B762" s="96" t="s">
        <v>159</v>
      </c>
      <c r="C762" s="95">
        <v>2009</v>
      </c>
      <c r="D762" s="96" t="s">
        <v>510</v>
      </c>
      <c r="E762" s="96" t="s">
        <v>633</v>
      </c>
      <c r="F762" s="101">
        <v>0.1</v>
      </c>
      <c r="G762" s="103"/>
      <c r="H762" s="104"/>
      <c r="I762" s="101">
        <v>0.09</v>
      </c>
      <c r="J762" s="99">
        <f>Table336789101112131415[[#This Row],[Sched C/ County/ State]]-Table336789101112131415[[#This Row],[2025 Rate]]</f>
        <v>0.01</v>
      </c>
    </row>
    <row r="763" spans="1:10" ht="30" x14ac:dyDescent="0.2">
      <c r="A763" s="93">
        <v>2465</v>
      </c>
      <c r="B763" s="96" t="s">
        <v>159</v>
      </c>
      <c r="C763" s="95">
        <v>2009</v>
      </c>
      <c r="D763" s="96" t="s">
        <v>510</v>
      </c>
      <c r="E763" s="96" t="s">
        <v>633</v>
      </c>
      <c r="F763" s="101">
        <v>0.1</v>
      </c>
      <c r="G763" s="103"/>
      <c r="H763" s="104"/>
      <c r="I763" s="101">
        <v>0.09</v>
      </c>
      <c r="J763" s="99">
        <f>Table336789101112131415[[#This Row],[Sched C/ County/ State]]-Table336789101112131415[[#This Row],[2025 Rate]]</f>
        <v>0.01</v>
      </c>
    </row>
    <row r="764" spans="1:10" x14ac:dyDescent="0.2">
      <c r="A764" s="93">
        <v>2468</v>
      </c>
      <c r="B764" s="96" t="s">
        <v>634</v>
      </c>
      <c r="C764" s="95">
        <v>2008</v>
      </c>
      <c r="D764" s="96" t="s">
        <v>97</v>
      </c>
      <c r="F764" s="101">
        <v>30.07</v>
      </c>
      <c r="G764" s="103"/>
      <c r="H764" s="104"/>
      <c r="I764" s="101">
        <v>27.28</v>
      </c>
      <c r="J764" s="99">
        <f>Table336789101112131415[[#This Row],[Sched C/ County/ State]]-Table336789101112131415[[#This Row],[2025 Rate]]</f>
        <v>2.79</v>
      </c>
    </row>
    <row r="765" spans="1:10" x14ac:dyDescent="0.2">
      <c r="A765" s="93">
        <v>2469</v>
      </c>
      <c r="B765" s="96" t="s">
        <v>207</v>
      </c>
      <c r="C765" s="95">
        <v>2008</v>
      </c>
      <c r="D765" s="96" t="s">
        <v>635</v>
      </c>
      <c r="F765" s="101">
        <v>47.08</v>
      </c>
      <c r="G765" s="103"/>
      <c r="H765" s="104"/>
      <c r="I765" s="101">
        <v>44.06</v>
      </c>
      <c r="J765" s="99">
        <f>Table336789101112131415[[#This Row],[Sched C/ County/ State]]-Table336789101112131415[[#This Row],[2025 Rate]]</f>
        <v>3.02</v>
      </c>
    </row>
    <row r="766" spans="1:10" x14ac:dyDescent="0.2">
      <c r="A766" s="93">
        <v>2470</v>
      </c>
      <c r="B766" s="96" t="s">
        <v>636</v>
      </c>
      <c r="C766" s="95">
        <v>2005</v>
      </c>
      <c r="D766" s="96" t="s">
        <v>637</v>
      </c>
      <c r="E766" s="96" t="s">
        <v>638</v>
      </c>
      <c r="F766" s="101">
        <v>21.17</v>
      </c>
      <c r="G766" s="103"/>
      <c r="H766" s="104"/>
      <c r="I766" s="101">
        <v>19.809999999999999</v>
      </c>
      <c r="J766" s="99">
        <f>Table336789101112131415[[#This Row],[Sched C/ County/ State]]-Table336789101112131415[[#This Row],[2025 Rate]]</f>
        <v>1.36</v>
      </c>
    </row>
    <row r="767" spans="1:10" x14ac:dyDescent="0.2">
      <c r="A767" s="93">
        <v>2472</v>
      </c>
      <c r="B767" s="96" t="s">
        <v>490</v>
      </c>
      <c r="C767" s="95">
        <v>2008</v>
      </c>
      <c r="D767" s="96" t="s">
        <v>639</v>
      </c>
      <c r="E767" s="96" t="s">
        <v>640</v>
      </c>
      <c r="F767" s="101">
        <v>7.9</v>
      </c>
      <c r="G767" s="103"/>
      <c r="H767" s="104"/>
      <c r="I767" s="101">
        <v>7.39</v>
      </c>
      <c r="J767" s="99">
        <f>Table336789101112131415[[#This Row],[Sched C/ County/ State]]-Table336789101112131415[[#This Row],[2025 Rate]]</f>
        <v>0.51</v>
      </c>
    </row>
    <row r="768" spans="1:10" x14ac:dyDescent="0.2">
      <c r="A768" s="93">
        <v>2476</v>
      </c>
      <c r="B768" s="96" t="s">
        <v>641</v>
      </c>
      <c r="C768" s="95">
        <v>2009</v>
      </c>
      <c r="F768" s="101">
        <v>5.14</v>
      </c>
      <c r="G768" s="103"/>
      <c r="H768" s="104"/>
      <c r="I768" s="101">
        <v>4.8099999999999996</v>
      </c>
      <c r="J768" s="99">
        <f>Table336789101112131415[[#This Row],[Sched C/ County/ State]]-Table336789101112131415[[#This Row],[2025 Rate]]</f>
        <v>0.33</v>
      </c>
    </row>
    <row r="769" spans="1:10" x14ac:dyDescent="0.2">
      <c r="A769" s="93">
        <v>2479</v>
      </c>
      <c r="B769" s="96" t="s">
        <v>200</v>
      </c>
      <c r="C769" s="95">
        <v>2008</v>
      </c>
      <c r="D769" s="96" t="s">
        <v>148</v>
      </c>
      <c r="E769" s="96" t="s">
        <v>642</v>
      </c>
      <c r="F769" s="101">
        <v>20.43</v>
      </c>
      <c r="G769" s="103"/>
      <c r="H769" s="104"/>
      <c r="I769" s="101">
        <v>19.12</v>
      </c>
      <c r="J769" s="99">
        <f>Table336789101112131415[[#This Row],[Sched C/ County/ State]]-Table336789101112131415[[#This Row],[2025 Rate]]</f>
        <v>1.31</v>
      </c>
    </row>
    <row r="770" spans="1:10" x14ac:dyDescent="0.2">
      <c r="A770" s="93">
        <v>2484</v>
      </c>
      <c r="B770" s="96" t="s">
        <v>643</v>
      </c>
      <c r="C770" s="95">
        <v>2008</v>
      </c>
      <c r="D770" s="96" t="s">
        <v>148</v>
      </c>
      <c r="E770" s="96" t="s">
        <v>644</v>
      </c>
      <c r="F770" s="101">
        <v>20.43</v>
      </c>
      <c r="G770" s="103"/>
      <c r="H770" s="104"/>
      <c r="I770" s="101">
        <v>19.12</v>
      </c>
      <c r="J770" s="99">
        <f>Table336789101112131415[[#This Row],[Sched C/ County/ State]]-Table336789101112131415[[#This Row],[2025 Rate]]</f>
        <v>1.31</v>
      </c>
    </row>
    <row r="771" spans="1:10" x14ac:dyDescent="0.2">
      <c r="A771" s="93">
        <v>2486</v>
      </c>
      <c r="B771" s="96" t="s">
        <v>150</v>
      </c>
      <c r="C771" s="95">
        <v>2007</v>
      </c>
      <c r="D771" s="96" t="s">
        <v>148</v>
      </c>
      <c r="E771" s="96" t="s">
        <v>645</v>
      </c>
      <c r="F771" s="101">
        <v>6.98</v>
      </c>
      <c r="G771" s="103"/>
      <c r="H771" s="104"/>
      <c r="I771" s="101">
        <v>6.53</v>
      </c>
      <c r="J771" s="99">
        <f>Table336789101112131415[[#This Row],[Sched C/ County/ State]]-Table336789101112131415[[#This Row],[2025 Rate]]</f>
        <v>0.45</v>
      </c>
    </row>
    <row r="772" spans="1:10" x14ac:dyDescent="0.2">
      <c r="A772" s="93">
        <v>2489</v>
      </c>
      <c r="B772" s="96" t="s">
        <v>646</v>
      </c>
      <c r="C772" s="95">
        <v>2006</v>
      </c>
      <c r="D772" s="96" t="s">
        <v>152</v>
      </c>
      <c r="E772" s="96" t="s">
        <v>647</v>
      </c>
      <c r="F772" s="101">
        <v>5.58</v>
      </c>
      <c r="G772" s="103"/>
      <c r="H772" s="104"/>
      <c r="I772" s="101">
        <v>5.22</v>
      </c>
      <c r="J772" s="99">
        <f>Table336789101112131415[[#This Row],[Sched C/ County/ State]]-Table336789101112131415[[#This Row],[2025 Rate]]</f>
        <v>0.36</v>
      </c>
    </row>
    <row r="773" spans="1:10" x14ac:dyDescent="0.2">
      <c r="A773" s="93">
        <v>2490</v>
      </c>
      <c r="B773" s="96" t="s">
        <v>150</v>
      </c>
      <c r="C773" s="95">
        <v>2004</v>
      </c>
      <c r="D773" s="96" t="s">
        <v>148</v>
      </c>
      <c r="F773" s="101">
        <v>6.98</v>
      </c>
      <c r="G773" s="103"/>
      <c r="H773" s="104"/>
      <c r="I773" s="101">
        <v>6.53</v>
      </c>
      <c r="J773" s="99">
        <f>Table336789101112131415[[#This Row],[Sched C/ County/ State]]-Table336789101112131415[[#This Row],[2025 Rate]]</f>
        <v>0.45</v>
      </c>
    </row>
    <row r="774" spans="1:10" x14ac:dyDescent="0.2">
      <c r="A774" s="93">
        <v>2491</v>
      </c>
      <c r="B774" s="96" t="s">
        <v>648</v>
      </c>
      <c r="C774" s="95">
        <v>2004</v>
      </c>
      <c r="D774" s="96" t="s">
        <v>148</v>
      </c>
      <c r="F774" s="101">
        <v>11.87</v>
      </c>
      <c r="G774" s="103"/>
      <c r="H774" s="104"/>
      <c r="I774" s="101">
        <v>11.11</v>
      </c>
      <c r="J774" s="99">
        <f>Table336789101112131415[[#This Row],[Sched C/ County/ State]]-Table336789101112131415[[#This Row],[2025 Rate]]</f>
        <v>0.76</v>
      </c>
    </row>
    <row r="775" spans="1:10" x14ac:dyDescent="0.2">
      <c r="A775" s="93">
        <v>2495</v>
      </c>
      <c r="B775" s="96" t="s">
        <v>498</v>
      </c>
      <c r="C775" s="95">
        <v>2009</v>
      </c>
      <c r="D775" s="96" t="s">
        <v>649</v>
      </c>
      <c r="E775" s="96" t="s">
        <v>650</v>
      </c>
      <c r="F775" s="101">
        <v>1.2</v>
      </c>
      <c r="G775" s="103"/>
      <c r="H775" s="104"/>
      <c r="I775" s="101">
        <v>1.1200000000000001</v>
      </c>
      <c r="J775" s="99">
        <f>Table336789101112131415[[#This Row],[Sched C/ County/ State]]-Table336789101112131415[[#This Row],[2025 Rate]]</f>
        <v>0.08</v>
      </c>
    </row>
    <row r="776" spans="1:10" x14ac:dyDescent="0.2">
      <c r="A776" s="93">
        <v>2496</v>
      </c>
      <c r="B776" s="96" t="s">
        <v>651</v>
      </c>
      <c r="C776" s="95">
        <v>2005</v>
      </c>
      <c r="D776" s="96" t="s">
        <v>148</v>
      </c>
      <c r="E776" s="96" t="s">
        <v>652</v>
      </c>
      <c r="F776" s="101">
        <v>20.43</v>
      </c>
      <c r="G776" s="103"/>
      <c r="H776" s="104"/>
      <c r="I776" s="101">
        <v>19.12</v>
      </c>
      <c r="J776" s="99">
        <f>Table336789101112131415[[#This Row],[Sched C/ County/ State]]-Table336789101112131415[[#This Row],[2025 Rate]]</f>
        <v>1.31</v>
      </c>
    </row>
    <row r="777" spans="1:10" x14ac:dyDescent="0.2">
      <c r="A777" s="93">
        <v>2497</v>
      </c>
      <c r="B777" s="96" t="s">
        <v>162</v>
      </c>
      <c r="C777" s="95">
        <v>2005</v>
      </c>
      <c r="D777" s="96" t="s">
        <v>152</v>
      </c>
      <c r="E777" s="96" t="s">
        <v>497</v>
      </c>
      <c r="F777" s="101">
        <v>5.9</v>
      </c>
      <c r="G777" s="103"/>
      <c r="H777" s="104"/>
      <c r="I777" s="101">
        <v>5.52</v>
      </c>
      <c r="J777" s="99">
        <f>Table336789101112131415[[#This Row],[Sched C/ County/ State]]-Table336789101112131415[[#This Row],[2025 Rate]]</f>
        <v>0.38</v>
      </c>
    </row>
    <row r="778" spans="1:10" x14ac:dyDescent="0.2">
      <c r="A778" s="93">
        <v>2498</v>
      </c>
      <c r="B778" s="96" t="s">
        <v>653</v>
      </c>
      <c r="C778" s="95">
        <v>2003</v>
      </c>
      <c r="D778" s="96" t="s">
        <v>654</v>
      </c>
      <c r="E778" s="96" t="s">
        <v>655</v>
      </c>
      <c r="F778" s="101">
        <v>41.97</v>
      </c>
      <c r="G778" s="103"/>
      <c r="H778" s="104"/>
      <c r="I778" s="101">
        <v>39.28</v>
      </c>
      <c r="J778" s="99">
        <f>Table336789101112131415[[#This Row],[Sched C/ County/ State]]-Table336789101112131415[[#This Row],[2025 Rate]]</f>
        <v>2.69</v>
      </c>
    </row>
    <row r="779" spans="1:10" x14ac:dyDescent="0.2">
      <c r="A779" s="93">
        <v>2502</v>
      </c>
      <c r="B779" s="96" t="s">
        <v>656</v>
      </c>
      <c r="C779" s="95">
        <v>2001</v>
      </c>
      <c r="D779" s="96" t="s">
        <v>657</v>
      </c>
      <c r="E779" s="96" t="s">
        <v>658</v>
      </c>
      <c r="F779" s="101">
        <v>54.39</v>
      </c>
      <c r="G779" s="103"/>
      <c r="H779" s="104"/>
      <c r="I779" s="101">
        <v>50.9</v>
      </c>
      <c r="J779" s="99">
        <f>Table336789101112131415[[#This Row],[Sched C/ County/ State]]-Table336789101112131415[[#This Row],[2025 Rate]]</f>
        <v>3.49</v>
      </c>
    </row>
    <row r="780" spans="1:10" ht="30" x14ac:dyDescent="0.2">
      <c r="A780" s="93">
        <v>2503</v>
      </c>
      <c r="B780" s="96" t="s">
        <v>659</v>
      </c>
      <c r="C780" s="95">
        <v>2001</v>
      </c>
      <c r="D780" s="96" t="s">
        <v>654</v>
      </c>
      <c r="E780" s="96" t="s">
        <v>660</v>
      </c>
      <c r="F780" s="101">
        <v>41.97</v>
      </c>
      <c r="G780" s="103"/>
      <c r="H780" s="104"/>
      <c r="I780" s="101">
        <v>39.28</v>
      </c>
      <c r="J780" s="99">
        <f>Table336789101112131415[[#This Row],[Sched C/ County/ State]]-Table336789101112131415[[#This Row],[2025 Rate]]</f>
        <v>2.69</v>
      </c>
    </row>
    <row r="781" spans="1:10" x14ac:dyDescent="0.2">
      <c r="A781" s="93">
        <v>2504</v>
      </c>
      <c r="B781" s="96" t="s">
        <v>661</v>
      </c>
      <c r="C781" s="95">
        <v>2001</v>
      </c>
      <c r="D781" s="96" t="s">
        <v>654</v>
      </c>
      <c r="E781" s="96" t="s">
        <v>662</v>
      </c>
      <c r="F781" s="101">
        <v>58.55</v>
      </c>
      <c r="G781" s="103"/>
      <c r="H781" s="104"/>
      <c r="I781" s="101">
        <v>54.33</v>
      </c>
      <c r="J781" s="99">
        <f>Table336789101112131415[[#This Row],[Sched C/ County/ State]]-Table336789101112131415[[#This Row],[2025 Rate]]</f>
        <v>4.22</v>
      </c>
    </row>
    <row r="782" spans="1:10" x14ac:dyDescent="0.2">
      <c r="A782" s="93">
        <v>2514</v>
      </c>
      <c r="B782" s="96" t="s">
        <v>593</v>
      </c>
      <c r="C782" s="95">
        <v>2003</v>
      </c>
      <c r="D782" s="96" t="s">
        <v>663</v>
      </c>
      <c r="E782" s="96" t="s">
        <v>664</v>
      </c>
      <c r="F782" s="101">
        <v>38.78</v>
      </c>
      <c r="G782" s="103"/>
      <c r="H782" s="104"/>
      <c r="I782" s="101">
        <v>36.29</v>
      </c>
      <c r="J782" s="99">
        <f>Table336789101112131415[[#This Row],[Sched C/ County/ State]]-Table336789101112131415[[#This Row],[2025 Rate]]</f>
        <v>2.4900000000000002</v>
      </c>
    </row>
    <row r="783" spans="1:10" x14ac:dyDescent="0.2">
      <c r="A783" s="93">
        <v>2516</v>
      </c>
      <c r="B783" s="96" t="s">
        <v>665</v>
      </c>
      <c r="C783" s="95">
        <v>2004</v>
      </c>
      <c r="D783" s="96" t="s">
        <v>666</v>
      </c>
      <c r="E783" s="96" t="s">
        <v>667</v>
      </c>
      <c r="F783" s="101">
        <v>7.5</v>
      </c>
      <c r="G783" s="103"/>
      <c r="H783" s="104"/>
      <c r="I783" s="101">
        <v>7.02</v>
      </c>
      <c r="J783" s="99">
        <f>Table336789101112131415[[#This Row],[Sched C/ County/ State]]-Table336789101112131415[[#This Row],[2025 Rate]]</f>
        <v>0.48</v>
      </c>
    </row>
    <row r="784" spans="1:10" x14ac:dyDescent="0.2">
      <c r="A784" s="93">
        <v>2522</v>
      </c>
      <c r="B784" s="96" t="s">
        <v>668</v>
      </c>
      <c r="C784" s="95">
        <v>2002</v>
      </c>
      <c r="D784" s="96" t="s">
        <v>152</v>
      </c>
      <c r="E784" s="96" t="s">
        <v>669</v>
      </c>
      <c r="F784" s="101">
        <v>6.98</v>
      </c>
      <c r="G784" s="103"/>
      <c r="H784" s="104"/>
      <c r="I784" s="101">
        <v>6.53</v>
      </c>
      <c r="J784" s="99">
        <f>Table336789101112131415[[#This Row],[Sched C/ County/ State]]-Table336789101112131415[[#This Row],[2025 Rate]]</f>
        <v>0.45</v>
      </c>
    </row>
    <row r="785" spans="1:10" x14ac:dyDescent="0.2">
      <c r="A785" s="93">
        <v>2523</v>
      </c>
      <c r="B785" s="96" t="s">
        <v>668</v>
      </c>
      <c r="C785" s="95">
        <v>2002</v>
      </c>
      <c r="D785" s="96" t="s">
        <v>152</v>
      </c>
      <c r="E785" s="96" t="s">
        <v>669</v>
      </c>
      <c r="F785" s="101">
        <v>6.98</v>
      </c>
      <c r="G785" s="103"/>
      <c r="H785" s="104"/>
      <c r="I785" s="101">
        <v>6.53</v>
      </c>
      <c r="J785" s="99">
        <f>Table336789101112131415[[#This Row],[Sched C/ County/ State]]-Table336789101112131415[[#This Row],[2025 Rate]]</f>
        <v>0.45</v>
      </c>
    </row>
    <row r="786" spans="1:10" x14ac:dyDescent="0.2">
      <c r="A786" s="93">
        <v>2524</v>
      </c>
      <c r="B786" s="96" t="s">
        <v>670</v>
      </c>
      <c r="C786" s="95">
        <v>2002</v>
      </c>
      <c r="D786" s="96" t="s">
        <v>671</v>
      </c>
      <c r="E786" s="96" t="s">
        <v>672</v>
      </c>
      <c r="F786" s="101">
        <v>66.489999999999995</v>
      </c>
      <c r="G786" s="103"/>
      <c r="H786" s="104"/>
      <c r="I786" s="101">
        <v>62.22</v>
      </c>
      <c r="J786" s="99">
        <f>Table336789101112131415[[#This Row],[Sched C/ County/ State]]-Table336789101112131415[[#This Row],[2025 Rate]]</f>
        <v>4.2699999999999996</v>
      </c>
    </row>
    <row r="787" spans="1:10" ht="30" x14ac:dyDescent="0.2">
      <c r="A787" s="93">
        <v>2525</v>
      </c>
      <c r="B787" s="96" t="s">
        <v>673</v>
      </c>
      <c r="C787" s="95">
        <v>2001</v>
      </c>
      <c r="D787" s="96" t="s">
        <v>674</v>
      </c>
      <c r="E787" s="96" t="s">
        <v>675</v>
      </c>
      <c r="F787" s="101">
        <v>20.03</v>
      </c>
      <c r="G787" s="103"/>
      <c r="H787" s="104"/>
      <c r="I787" s="101">
        <v>18.739999999999998</v>
      </c>
      <c r="J787" s="99">
        <f>Table336789101112131415[[#This Row],[Sched C/ County/ State]]-Table336789101112131415[[#This Row],[2025 Rate]]</f>
        <v>1.29</v>
      </c>
    </row>
    <row r="788" spans="1:10" x14ac:dyDescent="0.2">
      <c r="A788" s="93">
        <v>2535</v>
      </c>
      <c r="B788" s="96" t="s">
        <v>665</v>
      </c>
      <c r="C788" s="95">
        <v>2004</v>
      </c>
      <c r="D788" s="96" t="s">
        <v>211</v>
      </c>
      <c r="F788" s="101">
        <v>7.5</v>
      </c>
      <c r="G788" s="103"/>
      <c r="H788" s="104"/>
      <c r="I788" s="101">
        <v>7.02</v>
      </c>
      <c r="J788" s="99">
        <f>Table336789101112131415[[#This Row],[Sched C/ County/ State]]-Table336789101112131415[[#This Row],[2025 Rate]]</f>
        <v>0.48</v>
      </c>
    </row>
    <row r="789" spans="1:10" ht="30" x14ac:dyDescent="0.2">
      <c r="A789" s="93">
        <v>2539</v>
      </c>
      <c r="B789" s="96" t="s">
        <v>96</v>
      </c>
      <c r="C789" s="95">
        <v>2003</v>
      </c>
      <c r="D789" s="96" t="s">
        <v>676</v>
      </c>
      <c r="E789" s="96" t="s">
        <v>677</v>
      </c>
      <c r="F789" s="101">
        <v>31.79</v>
      </c>
      <c r="G789" s="103"/>
      <c r="H789" s="104"/>
      <c r="I789" s="101">
        <v>31.79</v>
      </c>
      <c r="J789" s="99">
        <f>Table336789101112131415[[#This Row],[Sched C/ County/ State]]-Table336789101112131415[[#This Row],[2025 Rate]]</f>
        <v>0</v>
      </c>
    </row>
    <row r="790" spans="1:10" x14ac:dyDescent="0.2">
      <c r="A790" s="93">
        <v>2540</v>
      </c>
      <c r="B790" s="96" t="s">
        <v>678</v>
      </c>
      <c r="C790" s="95">
        <v>2003</v>
      </c>
      <c r="D790" s="96" t="s">
        <v>140</v>
      </c>
      <c r="E790" s="96" t="s">
        <v>679</v>
      </c>
      <c r="F790" s="101">
        <v>31.62</v>
      </c>
      <c r="G790" s="103"/>
      <c r="H790" s="104"/>
      <c r="I790" s="101">
        <v>29.59</v>
      </c>
      <c r="J790" s="99">
        <f>Table336789101112131415[[#This Row],[Sched C/ County/ State]]-Table336789101112131415[[#This Row],[2025 Rate]]</f>
        <v>2.0299999999999998</v>
      </c>
    </row>
    <row r="791" spans="1:10" x14ac:dyDescent="0.2">
      <c r="A791" s="93">
        <v>2542</v>
      </c>
      <c r="B791" s="96" t="s">
        <v>680</v>
      </c>
      <c r="C791" s="95">
        <v>2004</v>
      </c>
      <c r="D791" s="96" t="s">
        <v>152</v>
      </c>
      <c r="E791" s="96" t="s">
        <v>647</v>
      </c>
      <c r="F791" s="101">
        <v>5.58</v>
      </c>
      <c r="G791" s="103"/>
      <c r="H791" s="104"/>
      <c r="I791" s="101">
        <v>5.22</v>
      </c>
      <c r="J791" s="99">
        <f>Table336789101112131415[[#This Row],[Sched C/ County/ State]]-Table336789101112131415[[#This Row],[2025 Rate]]</f>
        <v>0.36</v>
      </c>
    </row>
    <row r="792" spans="1:10" x14ac:dyDescent="0.2">
      <c r="A792" s="93">
        <v>2545</v>
      </c>
      <c r="B792" s="96" t="s">
        <v>680</v>
      </c>
      <c r="C792" s="95">
        <v>2004</v>
      </c>
      <c r="D792" s="96" t="s">
        <v>152</v>
      </c>
      <c r="E792" s="96" t="s">
        <v>647</v>
      </c>
      <c r="F792" s="101">
        <v>5.58</v>
      </c>
      <c r="G792" s="103"/>
      <c r="H792" s="104"/>
      <c r="I792" s="101">
        <v>5.22</v>
      </c>
      <c r="J792" s="99">
        <f>Table336789101112131415[[#This Row],[Sched C/ County/ State]]-Table336789101112131415[[#This Row],[2025 Rate]]</f>
        <v>0.36</v>
      </c>
    </row>
    <row r="793" spans="1:10" x14ac:dyDescent="0.2">
      <c r="A793" s="93">
        <v>2546</v>
      </c>
      <c r="B793" s="96" t="s">
        <v>646</v>
      </c>
      <c r="C793" s="95">
        <v>2004</v>
      </c>
      <c r="D793" s="96" t="s">
        <v>152</v>
      </c>
      <c r="E793" s="96" t="s">
        <v>647</v>
      </c>
      <c r="F793" s="101">
        <v>5.58</v>
      </c>
      <c r="G793" s="103"/>
      <c r="H793" s="104"/>
      <c r="I793" s="101">
        <v>5.22</v>
      </c>
      <c r="J793" s="99">
        <f>Table336789101112131415[[#This Row],[Sched C/ County/ State]]-Table336789101112131415[[#This Row],[2025 Rate]]</f>
        <v>0.36</v>
      </c>
    </row>
    <row r="794" spans="1:10" x14ac:dyDescent="0.2">
      <c r="A794" s="93">
        <v>2547</v>
      </c>
      <c r="B794" s="96" t="s">
        <v>681</v>
      </c>
      <c r="C794" s="95">
        <v>2004</v>
      </c>
      <c r="D794" s="96" t="s">
        <v>682</v>
      </c>
      <c r="E794" s="96" t="s">
        <v>683</v>
      </c>
      <c r="F794" s="101">
        <v>8.59</v>
      </c>
      <c r="G794" s="103"/>
      <c r="H794" s="104"/>
      <c r="I794" s="101">
        <v>8.0399999999999991</v>
      </c>
      <c r="J794" s="99">
        <f>Table336789101112131415[[#This Row],[Sched C/ County/ State]]-Table336789101112131415[[#This Row],[2025 Rate]]</f>
        <v>0.55000000000000004</v>
      </c>
    </row>
    <row r="795" spans="1:10" x14ac:dyDescent="0.2">
      <c r="A795" s="93">
        <v>2553</v>
      </c>
      <c r="B795" s="94" t="s">
        <v>684</v>
      </c>
      <c r="C795" s="95">
        <v>2005</v>
      </c>
      <c r="D795" s="96" t="s">
        <v>685</v>
      </c>
      <c r="E795" s="96" t="s">
        <v>686</v>
      </c>
      <c r="F795" s="101">
        <v>8.36</v>
      </c>
      <c r="G795" s="103"/>
      <c r="H795" s="104"/>
      <c r="I795" s="101">
        <v>7.82</v>
      </c>
      <c r="J795" s="99">
        <f>Table336789101112131415[[#This Row],[Sched C/ County/ State]]-Table336789101112131415[[#This Row],[2025 Rate]]</f>
        <v>0.54</v>
      </c>
    </row>
    <row r="796" spans="1:10" x14ac:dyDescent="0.2">
      <c r="A796" s="93">
        <v>2554</v>
      </c>
      <c r="B796" s="96" t="s">
        <v>684</v>
      </c>
      <c r="C796" s="95">
        <v>2005</v>
      </c>
      <c r="D796" s="96" t="s">
        <v>685</v>
      </c>
      <c r="E796" s="96" t="s">
        <v>686</v>
      </c>
      <c r="F796" s="101">
        <v>8.36</v>
      </c>
      <c r="G796" s="103"/>
      <c r="H796" s="104"/>
      <c r="I796" s="101">
        <v>7.82</v>
      </c>
      <c r="J796" s="99">
        <f>Table336789101112131415[[#This Row],[Sched C/ County/ State]]-Table336789101112131415[[#This Row],[2025 Rate]]</f>
        <v>0.54</v>
      </c>
    </row>
    <row r="797" spans="1:10" x14ac:dyDescent="0.2">
      <c r="A797" s="93">
        <v>2555</v>
      </c>
      <c r="B797" s="96" t="s">
        <v>253</v>
      </c>
      <c r="C797" s="95">
        <v>2001</v>
      </c>
      <c r="D797" s="96" t="s">
        <v>687</v>
      </c>
      <c r="E797" s="96" t="s">
        <v>688</v>
      </c>
      <c r="F797" s="101">
        <v>20.63</v>
      </c>
      <c r="G797" s="103"/>
      <c r="H797" s="104"/>
      <c r="I797" s="101">
        <v>19.309999999999999</v>
      </c>
      <c r="J797" s="99">
        <f>Table336789101112131415[[#This Row],[Sched C/ County/ State]]-Table336789101112131415[[#This Row],[2025 Rate]]</f>
        <v>1.32</v>
      </c>
    </row>
    <row r="798" spans="1:10" x14ac:dyDescent="0.2">
      <c r="A798" s="93">
        <v>2559</v>
      </c>
      <c r="B798" s="96" t="s">
        <v>689</v>
      </c>
      <c r="C798" s="95">
        <v>2002</v>
      </c>
      <c r="D798" s="96" t="s">
        <v>690</v>
      </c>
      <c r="E798" s="96" t="s">
        <v>691</v>
      </c>
      <c r="F798" s="101">
        <v>25.12</v>
      </c>
      <c r="G798" s="103"/>
      <c r="H798" s="104"/>
      <c r="I798" s="101">
        <v>23.51</v>
      </c>
      <c r="J798" s="99">
        <f>Table336789101112131415[[#This Row],[Sched C/ County/ State]]-Table336789101112131415[[#This Row],[2025 Rate]]</f>
        <v>1.61</v>
      </c>
    </row>
    <row r="799" spans="1:10" x14ac:dyDescent="0.2">
      <c r="A799" s="93">
        <v>2561</v>
      </c>
      <c r="B799" s="96" t="s">
        <v>692</v>
      </c>
      <c r="C799" s="95">
        <v>2005</v>
      </c>
      <c r="D799" s="96" t="s">
        <v>598</v>
      </c>
      <c r="E799" s="96" t="s">
        <v>693</v>
      </c>
      <c r="F799" s="101">
        <v>6.98</v>
      </c>
      <c r="G799" s="103"/>
      <c r="H799" s="104"/>
      <c r="I799" s="101">
        <v>6.48</v>
      </c>
      <c r="J799" s="99">
        <f>Table336789101112131415[[#This Row],[Sched C/ County/ State]]-Table336789101112131415[[#This Row],[2025 Rate]]</f>
        <v>0.5</v>
      </c>
    </row>
    <row r="800" spans="1:10" x14ac:dyDescent="0.2">
      <c r="A800" s="93">
        <v>2562</v>
      </c>
      <c r="B800" s="96" t="s">
        <v>694</v>
      </c>
      <c r="C800" s="95">
        <v>2003</v>
      </c>
      <c r="D800" s="96" t="s">
        <v>695</v>
      </c>
      <c r="E800" s="96" t="s">
        <v>696</v>
      </c>
      <c r="F800" s="101">
        <v>12</v>
      </c>
      <c r="G800" s="103"/>
      <c r="H800" s="104"/>
      <c r="I800" s="101">
        <v>11.23</v>
      </c>
      <c r="J800" s="99">
        <f>Table336789101112131415[[#This Row],[Sched C/ County/ State]]-Table336789101112131415[[#This Row],[2025 Rate]]</f>
        <v>0.77</v>
      </c>
    </row>
    <row r="801" spans="1:10" ht="30" x14ac:dyDescent="0.2">
      <c r="A801" s="93">
        <v>2563</v>
      </c>
      <c r="B801" s="96" t="s">
        <v>697</v>
      </c>
      <c r="C801" s="95">
        <v>2004</v>
      </c>
      <c r="D801" s="96" t="s">
        <v>698</v>
      </c>
      <c r="E801" s="96" t="s">
        <v>699</v>
      </c>
      <c r="F801" s="101">
        <v>6.47</v>
      </c>
      <c r="G801" s="103"/>
      <c r="H801" s="104"/>
      <c r="I801" s="101">
        <v>5.73</v>
      </c>
      <c r="J801" s="99">
        <f>Table336789101112131415[[#This Row],[Sched C/ County/ State]]-Table336789101112131415[[#This Row],[2025 Rate]]</f>
        <v>0.74</v>
      </c>
    </row>
    <row r="802" spans="1:10" x14ac:dyDescent="0.2">
      <c r="A802" s="93">
        <v>2564</v>
      </c>
      <c r="B802" s="96" t="s">
        <v>646</v>
      </c>
      <c r="C802" s="95">
        <v>2005</v>
      </c>
      <c r="D802" s="96" t="s">
        <v>152</v>
      </c>
      <c r="E802" s="96" t="s">
        <v>647</v>
      </c>
      <c r="F802" s="101">
        <v>5.58</v>
      </c>
      <c r="G802" s="103"/>
      <c r="H802" s="104"/>
      <c r="I802" s="101">
        <v>5.22</v>
      </c>
      <c r="J802" s="99">
        <f>Table336789101112131415[[#This Row],[Sched C/ County/ State]]-Table336789101112131415[[#This Row],[2025 Rate]]</f>
        <v>0.36</v>
      </c>
    </row>
    <row r="803" spans="1:10" x14ac:dyDescent="0.2">
      <c r="A803" s="93">
        <v>2565</v>
      </c>
      <c r="B803" s="96" t="s">
        <v>535</v>
      </c>
      <c r="C803" s="95">
        <v>2005</v>
      </c>
      <c r="D803" s="96" t="s">
        <v>700</v>
      </c>
      <c r="E803" s="96" t="s">
        <v>701</v>
      </c>
      <c r="F803" s="101">
        <v>28.93</v>
      </c>
      <c r="G803" s="103"/>
      <c r="H803" s="104"/>
      <c r="I803" s="101">
        <v>27.07</v>
      </c>
      <c r="J803" s="99">
        <f>Table336789101112131415[[#This Row],[Sched C/ County/ State]]-Table336789101112131415[[#This Row],[2025 Rate]]</f>
        <v>1.86</v>
      </c>
    </row>
    <row r="804" spans="1:10" x14ac:dyDescent="0.2">
      <c r="A804" s="93">
        <v>2566</v>
      </c>
      <c r="B804" s="96" t="s">
        <v>159</v>
      </c>
      <c r="C804" s="95">
        <v>2005</v>
      </c>
      <c r="D804" s="96" t="s">
        <v>510</v>
      </c>
      <c r="F804" s="101">
        <v>0.1</v>
      </c>
      <c r="G804" s="103"/>
      <c r="H804" s="104"/>
      <c r="I804" s="101">
        <v>0.09</v>
      </c>
      <c r="J804" s="99">
        <f>Table336789101112131415[[#This Row],[Sched C/ County/ State]]-Table336789101112131415[[#This Row],[2025 Rate]]</f>
        <v>0.01</v>
      </c>
    </row>
    <row r="805" spans="1:10" x14ac:dyDescent="0.2">
      <c r="A805" s="93">
        <v>2567</v>
      </c>
      <c r="B805" s="96" t="s">
        <v>641</v>
      </c>
      <c r="C805" s="95">
        <v>2004</v>
      </c>
      <c r="D805" s="96" t="s">
        <v>654</v>
      </c>
      <c r="F805" s="101">
        <v>5.14</v>
      </c>
      <c r="G805" s="103"/>
      <c r="H805" s="104"/>
      <c r="I805" s="101">
        <v>4.8099999999999996</v>
      </c>
      <c r="J805" s="99">
        <f>Table336789101112131415[[#This Row],[Sched C/ County/ State]]-Table336789101112131415[[#This Row],[2025 Rate]]</f>
        <v>0.33</v>
      </c>
    </row>
    <row r="806" spans="1:10" x14ac:dyDescent="0.2">
      <c r="A806" s="93">
        <v>2568</v>
      </c>
      <c r="B806" s="96" t="s">
        <v>653</v>
      </c>
      <c r="C806" s="95">
        <v>2004</v>
      </c>
      <c r="D806" s="96" t="s">
        <v>654</v>
      </c>
      <c r="E806" s="96" t="s">
        <v>702</v>
      </c>
      <c r="F806" s="101">
        <v>41.97</v>
      </c>
      <c r="G806" s="103"/>
      <c r="H806" s="104"/>
      <c r="I806" s="101">
        <v>39.28</v>
      </c>
      <c r="J806" s="99">
        <f>Table336789101112131415[[#This Row],[Sched C/ County/ State]]-Table336789101112131415[[#This Row],[2025 Rate]]</f>
        <v>2.69</v>
      </c>
    </row>
    <row r="807" spans="1:10" x14ac:dyDescent="0.2">
      <c r="A807" s="93">
        <v>2569</v>
      </c>
      <c r="B807" s="96" t="s">
        <v>653</v>
      </c>
      <c r="C807" s="95">
        <v>2004</v>
      </c>
      <c r="D807" s="96" t="s">
        <v>654</v>
      </c>
      <c r="E807" s="96" t="s">
        <v>702</v>
      </c>
      <c r="F807" s="101">
        <v>41.97</v>
      </c>
      <c r="G807" s="103"/>
      <c r="H807" s="104"/>
      <c r="I807" s="101">
        <v>39.28</v>
      </c>
      <c r="J807" s="99">
        <f>Table336789101112131415[[#This Row],[Sched C/ County/ State]]-Table336789101112131415[[#This Row],[2025 Rate]]</f>
        <v>2.69</v>
      </c>
    </row>
    <row r="808" spans="1:10" x14ac:dyDescent="0.2">
      <c r="A808" s="93">
        <v>2570</v>
      </c>
      <c r="B808" s="96" t="s">
        <v>641</v>
      </c>
      <c r="C808" s="95">
        <v>2004</v>
      </c>
      <c r="D808" s="96" t="s">
        <v>654</v>
      </c>
      <c r="F808" s="101">
        <v>5.14</v>
      </c>
      <c r="G808" s="103"/>
      <c r="H808" s="104"/>
      <c r="I808" s="101">
        <v>4.8099999999999996</v>
      </c>
      <c r="J808" s="99">
        <f>Table336789101112131415[[#This Row],[Sched C/ County/ State]]-Table336789101112131415[[#This Row],[2025 Rate]]</f>
        <v>0.33</v>
      </c>
    </row>
    <row r="809" spans="1:10" x14ac:dyDescent="0.2">
      <c r="A809" s="93">
        <v>2572</v>
      </c>
      <c r="B809" s="96" t="s">
        <v>703</v>
      </c>
      <c r="C809" s="95">
        <v>2006</v>
      </c>
      <c r="D809" s="96" t="s">
        <v>685</v>
      </c>
      <c r="E809" s="96" t="s">
        <v>686</v>
      </c>
      <c r="F809" s="101">
        <v>8.36</v>
      </c>
      <c r="G809" s="103"/>
      <c r="H809" s="104"/>
      <c r="I809" s="101">
        <v>7.82</v>
      </c>
      <c r="J809" s="99">
        <f>Table336789101112131415[[#This Row],[Sched C/ County/ State]]-Table336789101112131415[[#This Row],[2025 Rate]]</f>
        <v>0.54</v>
      </c>
    </row>
    <row r="810" spans="1:10" x14ac:dyDescent="0.2">
      <c r="A810" s="93">
        <v>2573</v>
      </c>
      <c r="B810" s="96" t="s">
        <v>684</v>
      </c>
      <c r="C810" s="95">
        <v>2006</v>
      </c>
      <c r="D810" s="96" t="s">
        <v>685</v>
      </c>
      <c r="E810" s="96" t="s">
        <v>686</v>
      </c>
      <c r="F810" s="101">
        <v>8.36</v>
      </c>
      <c r="G810" s="103"/>
      <c r="H810" s="104"/>
      <c r="I810" s="101">
        <v>7.82</v>
      </c>
      <c r="J810" s="99">
        <f>Table336789101112131415[[#This Row],[Sched C/ County/ State]]-Table336789101112131415[[#This Row],[2025 Rate]]</f>
        <v>0.54</v>
      </c>
    </row>
    <row r="811" spans="1:10" x14ac:dyDescent="0.2">
      <c r="A811" s="93">
        <v>2574</v>
      </c>
      <c r="B811" s="96" t="s">
        <v>501</v>
      </c>
      <c r="C811" s="95">
        <v>2008</v>
      </c>
      <c r="D811" s="96" t="s">
        <v>502</v>
      </c>
      <c r="E811" s="96" t="s">
        <v>503</v>
      </c>
      <c r="F811" s="101">
        <v>12</v>
      </c>
      <c r="G811" s="103"/>
      <c r="H811" s="104"/>
      <c r="I811" s="101">
        <v>11.23</v>
      </c>
      <c r="J811" s="99">
        <f>Table336789101112131415[[#This Row],[Sched C/ County/ State]]-Table336789101112131415[[#This Row],[2025 Rate]]</f>
        <v>0.77</v>
      </c>
    </row>
    <row r="812" spans="1:10" x14ac:dyDescent="0.2">
      <c r="A812" s="93">
        <v>2575</v>
      </c>
      <c r="B812" s="96" t="s">
        <v>498</v>
      </c>
      <c r="C812" s="95">
        <v>2008</v>
      </c>
      <c r="D812" s="96" t="s">
        <v>499</v>
      </c>
      <c r="E812" s="96" t="s">
        <v>704</v>
      </c>
      <c r="F812" s="101">
        <v>1.2</v>
      </c>
      <c r="G812" s="103"/>
      <c r="H812" s="104"/>
      <c r="I812" s="101">
        <v>1.1200000000000001</v>
      </c>
      <c r="J812" s="99">
        <f>Table336789101112131415[[#This Row],[Sched C/ County/ State]]-Table336789101112131415[[#This Row],[2025 Rate]]</f>
        <v>0.08</v>
      </c>
    </row>
    <row r="813" spans="1:10" ht="30" x14ac:dyDescent="0.2">
      <c r="A813" s="93">
        <v>2581</v>
      </c>
      <c r="B813" s="96" t="s">
        <v>454</v>
      </c>
      <c r="C813" s="95">
        <v>2003</v>
      </c>
      <c r="D813" s="96" t="s">
        <v>570</v>
      </c>
      <c r="E813" s="96" t="s">
        <v>572</v>
      </c>
      <c r="F813" s="101">
        <v>6.17</v>
      </c>
      <c r="G813" s="103"/>
      <c r="H813" s="104"/>
      <c r="I813" s="101">
        <v>5.77</v>
      </c>
      <c r="J813" s="99">
        <f>Table336789101112131415[[#This Row],[Sched C/ County/ State]]-Table336789101112131415[[#This Row],[2025 Rate]]</f>
        <v>0.4</v>
      </c>
    </row>
    <row r="814" spans="1:10" ht="30" x14ac:dyDescent="0.2">
      <c r="A814" s="93">
        <v>2584</v>
      </c>
      <c r="B814" s="96" t="s">
        <v>454</v>
      </c>
      <c r="C814" s="95">
        <v>2003</v>
      </c>
      <c r="D814" s="96" t="s">
        <v>570</v>
      </c>
      <c r="E814" s="96" t="s">
        <v>572</v>
      </c>
      <c r="F814" s="101">
        <v>6.17</v>
      </c>
      <c r="G814" s="103"/>
      <c r="H814" s="104"/>
      <c r="I814" s="101">
        <v>5.77</v>
      </c>
      <c r="J814" s="99">
        <f>Table336789101112131415[[#This Row],[Sched C/ County/ State]]-Table336789101112131415[[#This Row],[2025 Rate]]</f>
        <v>0.4</v>
      </c>
    </row>
    <row r="815" spans="1:10" ht="30" x14ac:dyDescent="0.2">
      <c r="A815" s="93">
        <v>2585</v>
      </c>
      <c r="B815" s="96" t="s">
        <v>705</v>
      </c>
      <c r="C815" s="95">
        <v>2002</v>
      </c>
      <c r="D815" s="96" t="s">
        <v>706</v>
      </c>
      <c r="E815" s="96" t="s">
        <v>707</v>
      </c>
      <c r="F815" s="101">
        <v>14.82</v>
      </c>
      <c r="G815" s="103"/>
      <c r="H815" s="104"/>
      <c r="I815" s="101">
        <v>13.75</v>
      </c>
      <c r="J815" s="99">
        <f>Table336789101112131415[[#This Row],[Sched C/ County/ State]]-Table336789101112131415[[#This Row],[2025 Rate]]</f>
        <v>1.07</v>
      </c>
    </row>
    <row r="816" spans="1:10" ht="30" x14ac:dyDescent="0.2">
      <c r="A816" s="93">
        <v>2586</v>
      </c>
      <c r="B816" s="96" t="s">
        <v>705</v>
      </c>
      <c r="C816" s="95">
        <v>2002</v>
      </c>
      <c r="D816" s="96" t="s">
        <v>706</v>
      </c>
      <c r="E816" s="96" t="s">
        <v>707</v>
      </c>
      <c r="F816" s="101">
        <v>14.82</v>
      </c>
      <c r="G816" s="103"/>
      <c r="H816" s="104"/>
      <c r="I816" s="101">
        <v>13.75</v>
      </c>
      <c r="J816" s="99">
        <f>Table336789101112131415[[#This Row],[Sched C/ County/ State]]-Table336789101112131415[[#This Row],[2025 Rate]]</f>
        <v>1.07</v>
      </c>
    </row>
    <row r="817" spans="1:10" ht="30" x14ac:dyDescent="0.2">
      <c r="A817" s="93">
        <v>2587</v>
      </c>
      <c r="B817" s="96" t="s">
        <v>705</v>
      </c>
      <c r="C817" s="95">
        <v>2002</v>
      </c>
      <c r="D817" s="96" t="s">
        <v>706</v>
      </c>
      <c r="E817" s="96" t="s">
        <v>707</v>
      </c>
      <c r="F817" s="101">
        <v>14.82</v>
      </c>
      <c r="G817" s="103"/>
      <c r="H817" s="104"/>
      <c r="I817" s="101">
        <v>13.75</v>
      </c>
      <c r="J817" s="99">
        <f>Table336789101112131415[[#This Row],[Sched C/ County/ State]]-Table336789101112131415[[#This Row],[2025 Rate]]</f>
        <v>1.07</v>
      </c>
    </row>
    <row r="818" spans="1:10" x14ac:dyDescent="0.2">
      <c r="A818" s="93">
        <v>2590</v>
      </c>
      <c r="B818" s="96" t="s">
        <v>193</v>
      </c>
      <c r="C818" s="95">
        <v>2001</v>
      </c>
      <c r="D818" s="96" t="s">
        <v>603</v>
      </c>
      <c r="E818" s="96" t="s">
        <v>708</v>
      </c>
      <c r="F818" s="101">
        <v>2.4500000000000002</v>
      </c>
      <c r="G818" s="103"/>
      <c r="H818" s="104"/>
      <c r="I818" s="101">
        <v>2.29</v>
      </c>
      <c r="J818" s="99">
        <f>Table336789101112131415[[#This Row],[Sched C/ County/ State]]-Table336789101112131415[[#This Row],[2025 Rate]]</f>
        <v>0.16</v>
      </c>
    </row>
    <row r="819" spans="1:10" x14ac:dyDescent="0.2">
      <c r="A819" s="93">
        <v>2592</v>
      </c>
      <c r="B819" s="96" t="s">
        <v>539</v>
      </c>
      <c r="C819" s="95">
        <v>2001</v>
      </c>
      <c r="D819" s="96" t="s">
        <v>709</v>
      </c>
      <c r="E819" s="96" t="s">
        <v>710</v>
      </c>
      <c r="F819" s="101">
        <v>31.48</v>
      </c>
      <c r="G819" s="103"/>
      <c r="H819" s="104"/>
      <c r="I819" s="101">
        <v>29.46</v>
      </c>
      <c r="J819" s="99">
        <f>Table336789101112131415[[#This Row],[Sched C/ County/ State]]-Table336789101112131415[[#This Row],[2025 Rate]]</f>
        <v>2.02</v>
      </c>
    </row>
    <row r="820" spans="1:10" ht="30" x14ac:dyDescent="0.2">
      <c r="A820" s="93">
        <v>2594</v>
      </c>
      <c r="B820" s="96" t="s">
        <v>711</v>
      </c>
      <c r="C820" s="95">
        <v>2000</v>
      </c>
      <c r="D820" s="96" t="s">
        <v>706</v>
      </c>
      <c r="F820" s="101">
        <v>14.82</v>
      </c>
      <c r="G820" s="103"/>
      <c r="H820" s="104"/>
      <c r="I820" s="101">
        <v>13.75</v>
      </c>
      <c r="J820" s="99">
        <f>Table336789101112131415[[#This Row],[Sched C/ County/ State]]-Table336789101112131415[[#This Row],[2025 Rate]]</f>
        <v>1.07</v>
      </c>
    </row>
    <row r="821" spans="1:10" ht="30" x14ac:dyDescent="0.2">
      <c r="A821" s="93">
        <v>2595</v>
      </c>
      <c r="B821" s="96" t="s">
        <v>711</v>
      </c>
      <c r="C821" s="95">
        <v>2000</v>
      </c>
      <c r="D821" s="96" t="s">
        <v>706</v>
      </c>
      <c r="F821" s="101">
        <v>14.82</v>
      </c>
      <c r="G821" s="103"/>
      <c r="H821" s="104"/>
      <c r="I821" s="101">
        <v>13.75</v>
      </c>
      <c r="J821" s="99">
        <f>Table336789101112131415[[#This Row],[Sched C/ County/ State]]-Table336789101112131415[[#This Row],[2025 Rate]]</f>
        <v>1.07</v>
      </c>
    </row>
    <row r="822" spans="1:10" ht="30" x14ac:dyDescent="0.2">
      <c r="A822" s="93">
        <v>2598</v>
      </c>
      <c r="B822" s="96" t="s">
        <v>539</v>
      </c>
      <c r="C822" s="95">
        <v>2000</v>
      </c>
      <c r="D822" s="96" t="s">
        <v>709</v>
      </c>
      <c r="E822" s="96" t="s">
        <v>712</v>
      </c>
      <c r="F822" s="101">
        <v>31.48</v>
      </c>
      <c r="G822" s="103"/>
      <c r="H822" s="104"/>
      <c r="I822" s="101">
        <v>29.46</v>
      </c>
      <c r="J822" s="99">
        <f>Table336789101112131415[[#This Row],[Sched C/ County/ State]]-Table336789101112131415[[#This Row],[2025 Rate]]</f>
        <v>2.02</v>
      </c>
    </row>
    <row r="823" spans="1:10" ht="30" x14ac:dyDescent="0.2">
      <c r="A823" s="93">
        <v>2599</v>
      </c>
      <c r="B823" s="96" t="s">
        <v>539</v>
      </c>
      <c r="C823" s="95">
        <v>2000</v>
      </c>
      <c r="D823" s="96" t="s">
        <v>709</v>
      </c>
      <c r="E823" s="96" t="s">
        <v>712</v>
      </c>
      <c r="F823" s="101">
        <v>31.48</v>
      </c>
      <c r="G823" s="103"/>
      <c r="H823" s="104"/>
      <c r="I823" s="101">
        <v>29.46</v>
      </c>
      <c r="J823" s="99">
        <f>Table336789101112131415[[#This Row],[Sched C/ County/ State]]-Table336789101112131415[[#This Row],[2025 Rate]]</f>
        <v>2.02</v>
      </c>
    </row>
    <row r="824" spans="1:10" ht="30" x14ac:dyDescent="0.2">
      <c r="A824" s="93">
        <v>2613</v>
      </c>
      <c r="B824" s="96" t="s">
        <v>713</v>
      </c>
      <c r="C824" s="95">
        <v>1999</v>
      </c>
      <c r="D824" s="96" t="s">
        <v>706</v>
      </c>
      <c r="F824" s="101">
        <v>14.82</v>
      </c>
      <c r="G824" s="103"/>
      <c r="H824" s="104"/>
      <c r="I824" s="101">
        <v>13.75</v>
      </c>
      <c r="J824" s="99">
        <f>Table336789101112131415[[#This Row],[Sched C/ County/ State]]-Table336789101112131415[[#This Row],[2025 Rate]]</f>
        <v>1.07</v>
      </c>
    </row>
    <row r="825" spans="1:10" x14ac:dyDescent="0.2">
      <c r="A825" s="93">
        <v>2626</v>
      </c>
      <c r="B825" s="96" t="s">
        <v>714</v>
      </c>
      <c r="C825" s="95">
        <v>1980</v>
      </c>
      <c r="D825" s="96" t="s">
        <v>715</v>
      </c>
      <c r="E825" s="96" t="s">
        <v>716</v>
      </c>
      <c r="F825" s="101">
        <v>5.72</v>
      </c>
      <c r="G825" s="103"/>
      <c r="H825" s="104"/>
      <c r="I825" s="101">
        <v>5.35</v>
      </c>
      <c r="J825" s="99">
        <f>Table336789101112131415[[#This Row],[Sched C/ County/ State]]-Table336789101112131415[[#This Row],[2025 Rate]]</f>
        <v>0.37</v>
      </c>
    </row>
    <row r="826" spans="1:10" x14ac:dyDescent="0.2">
      <c r="A826" s="93">
        <v>2648</v>
      </c>
      <c r="B826" s="96" t="s">
        <v>253</v>
      </c>
      <c r="C826" s="95">
        <v>1997</v>
      </c>
      <c r="D826" s="96" t="s">
        <v>717</v>
      </c>
      <c r="E826" s="96" t="s">
        <v>718</v>
      </c>
      <c r="F826" s="101">
        <v>15.96</v>
      </c>
      <c r="G826" s="103"/>
      <c r="H826" s="104"/>
      <c r="I826" s="101">
        <v>14.94</v>
      </c>
      <c r="J826" s="99">
        <f>Table336789101112131415[[#This Row],[Sched C/ County/ State]]-Table336789101112131415[[#This Row],[2025 Rate]]</f>
        <v>1.02</v>
      </c>
    </row>
    <row r="827" spans="1:10" ht="30" x14ac:dyDescent="0.2">
      <c r="A827" s="93">
        <v>2651</v>
      </c>
      <c r="B827" s="96" t="s">
        <v>719</v>
      </c>
      <c r="C827" s="95">
        <v>1991</v>
      </c>
      <c r="D827" s="96" t="s">
        <v>671</v>
      </c>
      <c r="E827" s="96" t="s">
        <v>720</v>
      </c>
      <c r="F827" s="101">
        <v>38.78</v>
      </c>
      <c r="G827" s="103"/>
      <c r="H827" s="104"/>
      <c r="I827" s="101">
        <v>36.29</v>
      </c>
      <c r="J827" s="99">
        <f>Table336789101112131415[[#This Row],[Sched C/ County/ State]]-Table336789101112131415[[#This Row],[2025 Rate]]</f>
        <v>2.4900000000000002</v>
      </c>
    </row>
    <row r="828" spans="1:10" x14ac:dyDescent="0.2">
      <c r="A828" s="93">
        <v>2654</v>
      </c>
      <c r="B828" s="96" t="s">
        <v>92</v>
      </c>
      <c r="C828" s="95">
        <v>1994</v>
      </c>
      <c r="D828" s="96" t="s">
        <v>404</v>
      </c>
      <c r="E828" s="96" t="s">
        <v>721</v>
      </c>
      <c r="F828" s="101">
        <v>16.05</v>
      </c>
      <c r="G828" s="103"/>
      <c r="H828" s="104"/>
      <c r="I828" s="101">
        <v>14.89</v>
      </c>
      <c r="J828" s="99">
        <f>Table336789101112131415[[#This Row],[Sched C/ County/ State]]-Table336789101112131415[[#This Row],[2025 Rate]]</f>
        <v>1.1599999999999999</v>
      </c>
    </row>
    <row r="829" spans="1:10" ht="30" x14ac:dyDescent="0.2">
      <c r="A829" s="93">
        <v>2657</v>
      </c>
      <c r="B829" s="96" t="s">
        <v>722</v>
      </c>
      <c r="C829" s="95">
        <v>1987</v>
      </c>
      <c r="D829" s="96" t="s">
        <v>723</v>
      </c>
      <c r="E829" s="96" t="s">
        <v>724</v>
      </c>
      <c r="F829" s="101">
        <v>6.47</v>
      </c>
      <c r="G829" s="103"/>
      <c r="H829" s="104"/>
      <c r="I829" s="101">
        <v>6.05</v>
      </c>
      <c r="J829" s="99">
        <f>Table336789101112131415[[#This Row],[Sched C/ County/ State]]-Table336789101112131415[[#This Row],[2025 Rate]]</f>
        <v>0.42</v>
      </c>
    </row>
    <row r="830" spans="1:10" ht="30" x14ac:dyDescent="0.2">
      <c r="A830" s="93">
        <v>2660</v>
      </c>
      <c r="B830" s="96" t="s">
        <v>725</v>
      </c>
      <c r="C830" s="95">
        <v>1995</v>
      </c>
      <c r="D830" s="96" t="s">
        <v>726</v>
      </c>
      <c r="E830" s="96" t="s">
        <v>727</v>
      </c>
      <c r="F830" s="101">
        <v>31.48</v>
      </c>
      <c r="G830" s="103"/>
      <c r="H830" s="104"/>
      <c r="I830" s="101">
        <v>29.46</v>
      </c>
      <c r="J830" s="99">
        <f>Table336789101112131415[[#This Row],[Sched C/ County/ State]]-Table336789101112131415[[#This Row],[2025 Rate]]</f>
        <v>2.02</v>
      </c>
    </row>
    <row r="831" spans="1:10" x14ac:dyDescent="0.2">
      <c r="A831" s="93">
        <v>2673</v>
      </c>
      <c r="B831" s="96" t="s">
        <v>728</v>
      </c>
      <c r="C831" s="95">
        <v>1997</v>
      </c>
      <c r="D831" s="96" t="s">
        <v>729</v>
      </c>
      <c r="E831" s="96" t="s">
        <v>730</v>
      </c>
      <c r="F831" s="101">
        <v>31.48</v>
      </c>
      <c r="G831" s="103"/>
      <c r="H831" s="104"/>
      <c r="I831" s="101">
        <v>29.46</v>
      </c>
      <c r="J831" s="99">
        <f>Table336789101112131415[[#This Row],[Sched C/ County/ State]]-Table336789101112131415[[#This Row],[2025 Rate]]</f>
        <v>2.02</v>
      </c>
    </row>
    <row r="832" spans="1:10" ht="30" x14ac:dyDescent="0.2">
      <c r="A832" s="93">
        <v>2686</v>
      </c>
      <c r="B832" s="96" t="s">
        <v>731</v>
      </c>
      <c r="C832" s="95">
        <v>1989</v>
      </c>
      <c r="D832" s="96" t="s">
        <v>575</v>
      </c>
      <c r="E832" s="96" t="s">
        <v>732</v>
      </c>
      <c r="F832" s="101">
        <v>4.2699999999999996</v>
      </c>
      <c r="G832" s="103"/>
      <c r="H832" s="104"/>
      <c r="I832" s="101">
        <v>4</v>
      </c>
      <c r="J832" s="99">
        <f>Table336789101112131415[[#This Row],[Sched C/ County/ State]]-Table336789101112131415[[#This Row],[2025 Rate]]</f>
        <v>0.27</v>
      </c>
    </row>
    <row r="833" spans="1:10" ht="30" x14ac:dyDescent="0.2">
      <c r="A833" s="93">
        <v>2690</v>
      </c>
      <c r="B833" s="96" t="s">
        <v>733</v>
      </c>
      <c r="C833" s="95">
        <v>1991</v>
      </c>
      <c r="D833" s="96" t="s">
        <v>734</v>
      </c>
      <c r="E833" s="96" t="s">
        <v>735</v>
      </c>
      <c r="F833" s="101">
        <v>14.82</v>
      </c>
      <c r="G833" s="103"/>
      <c r="H833" s="104"/>
      <c r="I833" s="101">
        <v>13.75</v>
      </c>
      <c r="J833" s="99">
        <f>Table336789101112131415[[#This Row],[Sched C/ County/ State]]-Table336789101112131415[[#This Row],[2025 Rate]]</f>
        <v>1.07</v>
      </c>
    </row>
    <row r="834" spans="1:10" x14ac:dyDescent="0.2">
      <c r="A834" s="93">
        <v>2692</v>
      </c>
      <c r="B834" s="96" t="s">
        <v>736</v>
      </c>
      <c r="C834" s="95">
        <v>1998</v>
      </c>
      <c r="D834" s="96" t="s">
        <v>575</v>
      </c>
      <c r="E834" s="96" t="s">
        <v>737</v>
      </c>
      <c r="F834" s="101">
        <v>4.2699999999999996</v>
      </c>
      <c r="G834" s="103"/>
      <c r="H834" s="104"/>
      <c r="I834" s="101">
        <v>4</v>
      </c>
      <c r="J834" s="99">
        <f>Table336789101112131415[[#This Row],[Sched C/ County/ State]]-Table336789101112131415[[#This Row],[2025 Rate]]</f>
        <v>0.27</v>
      </c>
    </row>
    <row r="835" spans="1:10" x14ac:dyDescent="0.2">
      <c r="A835" s="93">
        <v>2724</v>
      </c>
      <c r="B835" s="96" t="s">
        <v>738</v>
      </c>
      <c r="C835" s="95">
        <v>1998</v>
      </c>
      <c r="D835" s="96" t="s">
        <v>739</v>
      </c>
      <c r="E835" s="96" t="s">
        <v>740</v>
      </c>
      <c r="F835" s="101">
        <v>4.74</v>
      </c>
      <c r="G835" s="103"/>
      <c r="H835" s="104"/>
      <c r="I835" s="101">
        <v>4.4400000000000004</v>
      </c>
      <c r="J835" s="99">
        <f>Table336789101112131415[[#This Row],[Sched C/ County/ State]]-Table336789101112131415[[#This Row],[2025 Rate]]</f>
        <v>0.3</v>
      </c>
    </row>
    <row r="836" spans="1:10" x14ac:dyDescent="0.2">
      <c r="A836" s="93">
        <v>2725</v>
      </c>
      <c r="B836" s="96" t="s">
        <v>741</v>
      </c>
      <c r="C836" s="95">
        <v>1988</v>
      </c>
      <c r="D836" s="96" t="s">
        <v>742</v>
      </c>
      <c r="E836" s="96" t="s">
        <v>743</v>
      </c>
      <c r="F836" s="101">
        <v>11.87</v>
      </c>
      <c r="G836" s="103"/>
      <c r="H836" s="104"/>
      <c r="I836" s="101">
        <v>11.11</v>
      </c>
      <c r="J836" s="99">
        <f>Table336789101112131415[[#This Row],[Sched C/ County/ State]]-Table336789101112131415[[#This Row],[2025 Rate]]</f>
        <v>0.76</v>
      </c>
    </row>
    <row r="837" spans="1:10" ht="30" x14ac:dyDescent="0.2">
      <c r="A837" s="93">
        <v>2730</v>
      </c>
      <c r="B837" s="96" t="s">
        <v>744</v>
      </c>
      <c r="C837" s="95">
        <v>1986</v>
      </c>
      <c r="D837" s="96" t="s">
        <v>745</v>
      </c>
      <c r="E837" s="96" t="s">
        <v>746</v>
      </c>
      <c r="F837" s="101">
        <v>4.74</v>
      </c>
      <c r="G837" s="103"/>
      <c r="H837" s="104"/>
      <c r="I837" s="101">
        <v>4.4400000000000004</v>
      </c>
      <c r="J837" s="99">
        <f>Table336789101112131415[[#This Row],[Sched C/ County/ State]]-Table336789101112131415[[#This Row],[2025 Rate]]</f>
        <v>0.3</v>
      </c>
    </row>
    <row r="838" spans="1:10" x14ac:dyDescent="0.2">
      <c r="A838" s="93">
        <v>2734</v>
      </c>
      <c r="B838" s="96" t="s">
        <v>747</v>
      </c>
      <c r="C838" s="95">
        <v>1988</v>
      </c>
      <c r="D838" s="96" t="s">
        <v>748</v>
      </c>
      <c r="E838" s="96" t="s">
        <v>749</v>
      </c>
      <c r="F838" s="101">
        <v>4.1399999999999997</v>
      </c>
      <c r="G838" s="103"/>
      <c r="H838" s="104"/>
      <c r="I838" s="101">
        <v>3.87</v>
      </c>
      <c r="J838" s="99">
        <f>Table336789101112131415[[#This Row],[Sched C/ County/ State]]-Table336789101112131415[[#This Row],[2025 Rate]]</f>
        <v>0.27</v>
      </c>
    </row>
    <row r="839" spans="1:10" x14ac:dyDescent="0.2">
      <c r="A839" s="93">
        <v>2735</v>
      </c>
      <c r="B839" s="96" t="s">
        <v>750</v>
      </c>
      <c r="C839" s="95">
        <v>1989</v>
      </c>
      <c r="D839" s="96" t="s">
        <v>748</v>
      </c>
      <c r="E839" s="96" t="s">
        <v>749</v>
      </c>
      <c r="F839" s="101">
        <v>4.1399999999999997</v>
      </c>
      <c r="G839" s="103"/>
      <c r="H839" s="104"/>
      <c r="I839" s="101">
        <v>3.87</v>
      </c>
      <c r="J839" s="99">
        <f>Table336789101112131415[[#This Row],[Sched C/ County/ State]]-Table336789101112131415[[#This Row],[2025 Rate]]</f>
        <v>0.27</v>
      </c>
    </row>
    <row r="840" spans="1:10" ht="30" x14ac:dyDescent="0.2">
      <c r="A840" s="93">
        <v>2739</v>
      </c>
      <c r="B840" s="96" t="s">
        <v>751</v>
      </c>
      <c r="C840" s="95">
        <v>1992</v>
      </c>
      <c r="D840" s="96" t="s">
        <v>752</v>
      </c>
      <c r="E840" s="96" t="s">
        <v>753</v>
      </c>
      <c r="F840" s="101">
        <v>0.56999999999999995</v>
      </c>
      <c r="G840" s="103"/>
      <c r="H840" s="104"/>
      <c r="I840" s="101">
        <v>0.53</v>
      </c>
      <c r="J840" s="99">
        <f>Table336789101112131415[[#This Row],[Sched C/ County/ State]]-Table336789101112131415[[#This Row],[2025 Rate]]</f>
        <v>0.04</v>
      </c>
    </row>
    <row r="841" spans="1:10" x14ac:dyDescent="0.2">
      <c r="A841" s="93">
        <v>2750</v>
      </c>
      <c r="B841" s="96" t="s">
        <v>754</v>
      </c>
      <c r="C841" s="95">
        <v>1996</v>
      </c>
      <c r="D841" s="96" t="s">
        <v>685</v>
      </c>
      <c r="E841" s="96" t="s">
        <v>755</v>
      </c>
      <c r="F841" s="101">
        <v>8.36</v>
      </c>
      <c r="G841" s="103"/>
      <c r="H841" s="104"/>
      <c r="I841" s="101">
        <v>7.82</v>
      </c>
      <c r="J841" s="99">
        <f>Table336789101112131415[[#This Row],[Sched C/ County/ State]]-Table336789101112131415[[#This Row],[2025 Rate]]</f>
        <v>0.54</v>
      </c>
    </row>
    <row r="842" spans="1:10" x14ac:dyDescent="0.2">
      <c r="A842" s="93">
        <v>2751</v>
      </c>
      <c r="B842" s="96" t="s">
        <v>754</v>
      </c>
      <c r="C842" s="95">
        <v>2000</v>
      </c>
      <c r="D842" s="96" t="s">
        <v>685</v>
      </c>
      <c r="E842" s="96" t="s">
        <v>755</v>
      </c>
      <c r="F842" s="101">
        <v>8.36</v>
      </c>
      <c r="G842" s="103"/>
      <c r="H842" s="104"/>
      <c r="I842" s="101">
        <v>7.82</v>
      </c>
      <c r="J842" s="99">
        <f>Table336789101112131415[[#This Row],[Sched C/ County/ State]]-Table336789101112131415[[#This Row],[2025 Rate]]</f>
        <v>0.54</v>
      </c>
    </row>
    <row r="843" spans="1:10" x14ac:dyDescent="0.2">
      <c r="A843" s="93">
        <v>2771</v>
      </c>
      <c r="B843" s="96" t="s">
        <v>91</v>
      </c>
      <c r="C843" s="95">
        <v>1993</v>
      </c>
      <c r="D843" s="96" t="s">
        <v>237</v>
      </c>
      <c r="E843" s="96" t="s">
        <v>756</v>
      </c>
      <c r="F843" s="101">
        <v>58.85</v>
      </c>
      <c r="G843" s="103"/>
      <c r="H843" s="104"/>
      <c r="I843" s="101">
        <v>54.64</v>
      </c>
      <c r="J843" s="99">
        <f>Table336789101112131415[[#This Row],[Sched C/ County/ State]]-Table336789101112131415[[#This Row],[2025 Rate]]</f>
        <v>4.21</v>
      </c>
    </row>
    <row r="844" spans="1:10" x14ac:dyDescent="0.2">
      <c r="A844" s="93">
        <v>2808</v>
      </c>
      <c r="B844" s="96" t="s">
        <v>757</v>
      </c>
      <c r="C844" s="95">
        <v>1999</v>
      </c>
      <c r="D844" s="96" t="s">
        <v>598</v>
      </c>
      <c r="E844" s="96" t="s">
        <v>758</v>
      </c>
      <c r="F844" s="101">
        <v>8.3800000000000008</v>
      </c>
      <c r="G844" s="103"/>
      <c r="H844" s="104"/>
      <c r="I844" s="101">
        <v>7.84</v>
      </c>
      <c r="J844" s="99">
        <f>Table336789101112131415[[#This Row],[Sched C/ County/ State]]-Table336789101112131415[[#This Row],[2025 Rate]]</f>
        <v>0.54</v>
      </c>
    </row>
    <row r="845" spans="1:10" ht="30" x14ac:dyDescent="0.2">
      <c r="A845" s="93">
        <v>2824</v>
      </c>
      <c r="B845" s="96" t="s">
        <v>159</v>
      </c>
      <c r="C845" s="95">
        <v>1999</v>
      </c>
      <c r="D845" s="96" t="s">
        <v>510</v>
      </c>
      <c r="E845" s="96" t="s">
        <v>759</v>
      </c>
      <c r="F845" s="101">
        <v>0.1</v>
      </c>
      <c r="G845" s="103"/>
      <c r="H845" s="104"/>
      <c r="I845" s="101">
        <v>0.09</v>
      </c>
      <c r="J845" s="99">
        <f>Table336789101112131415[[#This Row],[Sched C/ County/ State]]-Table336789101112131415[[#This Row],[2025 Rate]]</f>
        <v>0.01</v>
      </c>
    </row>
    <row r="846" spans="1:10" x14ac:dyDescent="0.2">
      <c r="A846" s="93">
        <v>2830</v>
      </c>
      <c r="B846" s="96" t="s">
        <v>760</v>
      </c>
      <c r="C846" s="95">
        <v>1998</v>
      </c>
      <c r="D846" s="96" t="s">
        <v>761</v>
      </c>
      <c r="E846" s="96" t="s">
        <v>762</v>
      </c>
      <c r="F846" s="101">
        <v>1.2</v>
      </c>
      <c r="G846" s="103"/>
      <c r="H846" s="104"/>
      <c r="I846" s="101">
        <v>1.1200000000000001</v>
      </c>
      <c r="J846" s="99">
        <f>Table336789101112131415[[#This Row],[Sched C/ County/ State]]-Table336789101112131415[[#This Row],[2025 Rate]]</f>
        <v>0.08</v>
      </c>
    </row>
    <row r="847" spans="1:10" x14ac:dyDescent="0.2">
      <c r="A847" s="93">
        <v>2832</v>
      </c>
      <c r="B847" s="96" t="s">
        <v>95</v>
      </c>
      <c r="C847" s="95">
        <v>1999</v>
      </c>
      <c r="D847" s="96" t="s">
        <v>763</v>
      </c>
      <c r="F847" s="101">
        <v>11.54</v>
      </c>
      <c r="G847" s="103"/>
      <c r="H847" s="104"/>
      <c r="I847" s="101">
        <v>10.8</v>
      </c>
      <c r="J847" s="99">
        <f>Table336789101112131415[[#This Row],[Sched C/ County/ State]]-Table336789101112131415[[#This Row],[2025 Rate]]</f>
        <v>0.74</v>
      </c>
    </row>
    <row r="848" spans="1:10" x14ac:dyDescent="0.2">
      <c r="A848" s="93">
        <v>2833</v>
      </c>
      <c r="B848" s="96" t="s">
        <v>95</v>
      </c>
      <c r="C848" s="95">
        <v>1999</v>
      </c>
      <c r="D848" s="96" t="s">
        <v>763</v>
      </c>
      <c r="F848" s="101">
        <v>11.54</v>
      </c>
      <c r="G848" s="103"/>
      <c r="H848" s="104"/>
      <c r="I848" s="101">
        <v>10.8</v>
      </c>
      <c r="J848" s="99">
        <f>Table336789101112131415[[#This Row],[Sched C/ County/ State]]-Table336789101112131415[[#This Row],[2025 Rate]]</f>
        <v>0.74</v>
      </c>
    </row>
    <row r="849" spans="1:10" ht="30" x14ac:dyDescent="0.2">
      <c r="A849" s="93">
        <v>2835</v>
      </c>
      <c r="B849" s="96" t="s">
        <v>764</v>
      </c>
      <c r="C849" s="95">
        <v>1978</v>
      </c>
      <c r="D849" s="96" t="s">
        <v>765</v>
      </c>
      <c r="E849" s="96" t="s">
        <v>766</v>
      </c>
      <c r="F849" s="101">
        <v>0.38</v>
      </c>
      <c r="G849" s="103"/>
      <c r="H849" s="104"/>
      <c r="I849" s="101">
        <v>0.36</v>
      </c>
      <c r="J849" s="99">
        <f>Table336789101112131415[[#This Row],[Sched C/ County/ State]]-Table336789101112131415[[#This Row],[2025 Rate]]</f>
        <v>0.02</v>
      </c>
    </row>
    <row r="850" spans="1:10" x14ac:dyDescent="0.2">
      <c r="A850" s="93">
        <v>2836</v>
      </c>
      <c r="B850" s="96" t="s">
        <v>95</v>
      </c>
      <c r="C850" s="95">
        <v>1999</v>
      </c>
      <c r="D850" s="96" t="s">
        <v>763</v>
      </c>
      <c r="E850" s="96" t="s">
        <v>95</v>
      </c>
      <c r="F850" s="101">
        <v>11.54</v>
      </c>
      <c r="G850" s="103"/>
      <c r="H850" s="104"/>
      <c r="I850" s="101">
        <v>10.8</v>
      </c>
      <c r="J850" s="99">
        <f>Table336789101112131415[[#This Row],[Sched C/ County/ State]]-Table336789101112131415[[#This Row],[2025 Rate]]</f>
        <v>0.74</v>
      </c>
    </row>
    <row r="851" spans="1:10" x14ac:dyDescent="0.2">
      <c r="A851" s="93">
        <v>2838</v>
      </c>
      <c r="B851" s="96" t="s">
        <v>95</v>
      </c>
      <c r="C851" s="95">
        <v>1999</v>
      </c>
      <c r="D851" s="96" t="s">
        <v>763</v>
      </c>
      <c r="E851" s="96" t="s">
        <v>95</v>
      </c>
      <c r="F851" s="101">
        <v>11.54</v>
      </c>
      <c r="G851" s="103"/>
      <c r="H851" s="104"/>
      <c r="I851" s="101">
        <v>10.8</v>
      </c>
      <c r="J851" s="99">
        <f>Table336789101112131415[[#This Row],[Sched C/ County/ State]]-Table336789101112131415[[#This Row],[2025 Rate]]</f>
        <v>0.74</v>
      </c>
    </row>
    <row r="852" spans="1:10" x14ac:dyDescent="0.2">
      <c r="A852" s="93">
        <v>2839</v>
      </c>
      <c r="B852" s="96" t="s">
        <v>95</v>
      </c>
      <c r="C852" s="95">
        <v>1999</v>
      </c>
      <c r="D852" s="96" t="s">
        <v>763</v>
      </c>
      <c r="E852" s="96" t="s">
        <v>95</v>
      </c>
      <c r="F852" s="101">
        <v>11.54</v>
      </c>
      <c r="G852" s="103"/>
      <c r="H852" s="104"/>
      <c r="I852" s="101">
        <v>10.8</v>
      </c>
      <c r="J852" s="99">
        <f>Table336789101112131415[[#This Row],[Sched C/ County/ State]]-Table336789101112131415[[#This Row],[2025 Rate]]</f>
        <v>0.74</v>
      </c>
    </row>
    <row r="853" spans="1:10" ht="30" x14ac:dyDescent="0.2">
      <c r="A853" s="93">
        <v>2858</v>
      </c>
      <c r="B853" s="96" t="s">
        <v>767</v>
      </c>
      <c r="C853" s="95">
        <v>1987</v>
      </c>
      <c r="D853" s="96" t="s">
        <v>768</v>
      </c>
      <c r="E853" s="96" t="s">
        <v>769</v>
      </c>
      <c r="F853" s="101">
        <v>12</v>
      </c>
      <c r="G853" s="103"/>
      <c r="H853" s="104"/>
      <c r="I853" s="101">
        <v>11.23</v>
      </c>
      <c r="J853" s="99">
        <f>Table336789101112131415[[#This Row],[Sched C/ County/ State]]-Table336789101112131415[[#This Row],[2025 Rate]]</f>
        <v>0.77</v>
      </c>
    </row>
    <row r="854" spans="1:10" x14ac:dyDescent="0.2">
      <c r="A854" s="93">
        <v>2859</v>
      </c>
      <c r="B854" s="96" t="s">
        <v>770</v>
      </c>
      <c r="C854" s="95">
        <v>1979</v>
      </c>
      <c r="D854" s="96" t="s">
        <v>771</v>
      </c>
      <c r="E854" s="96" t="s">
        <v>772</v>
      </c>
      <c r="F854" s="101">
        <v>12</v>
      </c>
      <c r="G854" s="103"/>
      <c r="H854" s="104"/>
      <c r="I854" s="101">
        <v>11.23</v>
      </c>
      <c r="J854" s="99">
        <f>Table336789101112131415[[#This Row],[Sched C/ County/ State]]-Table336789101112131415[[#This Row],[2025 Rate]]</f>
        <v>0.77</v>
      </c>
    </row>
    <row r="855" spans="1:10" x14ac:dyDescent="0.2">
      <c r="A855" s="93">
        <v>2864</v>
      </c>
      <c r="B855" s="94" t="s">
        <v>773</v>
      </c>
      <c r="C855" s="95">
        <v>1984</v>
      </c>
      <c r="D855" s="96" t="s">
        <v>774</v>
      </c>
      <c r="E855" s="96" t="s">
        <v>775</v>
      </c>
      <c r="F855" s="101">
        <v>12</v>
      </c>
      <c r="G855" s="103"/>
      <c r="H855" s="104"/>
      <c r="I855" s="101">
        <v>11.23</v>
      </c>
      <c r="J855" s="99">
        <f>Table336789101112131415[[#This Row],[Sched C/ County/ State]]-Table336789101112131415[[#This Row],[2025 Rate]]</f>
        <v>0.77</v>
      </c>
    </row>
    <row r="856" spans="1:10" x14ac:dyDescent="0.2">
      <c r="A856" s="93">
        <v>2868</v>
      </c>
      <c r="B856" s="96" t="s">
        <v>776</v>
      </c>
      <c r="C856" s="95">
        <v>1984</v>
      </c>
      <c r="D856" s="96" t="s">
        <v>774</v>
      </c>
      <c r="E856" s="96" t="s">
        <v>775</v>
      </c>
      <c r="F856" s="101">
        <v>12</v>
      </c>
      <c r="G856" s="103"/>
      <c r="H856" s="104"/>
      <c r="I856" s="101">
        <v>11.23</v>
      </c>
      <c r="J856" s="99">
        <f>Table336789101112131415[[#This Row],[Sched C/ County/ State]]-Table336789101112131415[[#This Row],[2025 Rate]]</f>
        <v>0.77</v>
      </c>
    </row>
    <row r="857" spans="1:10" ht="30" x14ac:dyDescent="0.2">
      <c r="A857" s="93">
        <v>2871</v>
      </c>
      <c r="B857" s="96" t="s">
        <v>777</v>
      </c>
      <c r="C857" s="95">
        <v>1986</v>
      </c>
      <c r="D857" s="96" t="s">
        <v>745</v>
      </c>
      <c r="E857" s="96" t="s">
        <v>778</v>
      </c>
      <c r="F857" s="101">
        <v>7</v>
      </c>
      <c r="G857" s="103"/>
      <c r="H857" s="104"/>
      <c r="I857" s="101">
        <v>6.55</v>
      </c>
      <c r="J857" s="99">
        <f>Table336789101112131415[[#This Row],[Sched C/ County/ State]]-Table336789101112131415[[#This Row],[2025 Rate]]</f>
        <v>0.45</v>
      </c>
    </row>
    <row r="858" spans="1:10" ht="30" x14ac:dyDescent="0.2">
      <c r="A858" s="93">
        <v>2877</v>
      </c>
      <c r="B858" s="96" t="s">
        <v>779</v>
      </c>
      <c r="C858" s="95">
        <v>1991</v>
      </c>
      <c r="D858" s="96" t="s">
        <v>205</v>
      </c>
      <c r="E858" s="96" t="s">
        <v>780</v>
      </c>
      <c r="F858" s="101">
        <v>14.65</v>
      </c>
      <c r="G858" s="103"/>
      <c r="H858" s="104"/>
      <c r="I858" s="101">
        <v>13.71</v>
      </c>
      <c r="J858" s="99">
        <f>Table336789101112131415[[#This Row],[Sched C/ County/ State]]-Table336789101112131415[[#This Row],[2025 Rate]]</f>
        <v>0.94</v>
      </c>
    </row>
    <row r="859" spans="1:10" x14ac:dyDescent="0.2">
      <c r="A859" s="93">
        <v>2909</v>
      </c>
      <c r="B859" s="96" t="s">
        <v>781</v>
      </c>
      <c r="C859" s="95">
        <v>1995</v>
      </c>
      <c r="D859" s="96" t="s">
        <v>742</v>
      </c>
      <c r="E859" s="96" t="s">
        <v>782</v>
      </c>
      <c r="F859" s="101">
        <v>6.98</v>
      </c>
      <c r="G859" s="103"/>
      <c r="H859" s="104"/>
      <c r="I859" s="101">
        <v>6.53</v>
      </c>
      <c r="J859" s="99">
        <f>Table336789101112131415[[#This Row],[Sched C/ County/ State]]-Table336789101112131415[[#This Row],[2025 Rate]]</f>
        <v>0.45</v>
      </c>
    </row>
    <row r="860" spans="1:10" x14ac:dyDescent="0.2">
      <c r="A860" s="93">
        <v>2917</v>
      </c>
      <c r="B860" s="96" t="s">
        <v>783</v>
      </c>
      <c r="C860" s="95">
        <v>2002</v>
      </c>
      <c r="D860" s="96" t="s">
        <v>481</v>
      </c>
      <c r="E860" s="96" t="s">
        <v>784</v>
      </c>
      <c r="F860" s="101">
        <v>8.11</v>
      </c>
      <c r="G860" s="103"/>
      <c r="H860" s="104"/>
      <c r="I860" s="101">
        <v>7.59</v>
      </c>
      <c r="J860" s="99">
        <f>Table336789101112131415[[#This Row],[Sched C/ County/ State]]-Table336789101112131415[[#This Row],[2025 Rate]]</f>
        <v>0.52</v>
      </c>
    </row>
    <row r="861" spans="1:10" ht="30" x14ac:dyDescent="0.2">
      <c r="A861" s="93">
        <v>2927</v>
      </c>
      <c r="B861" s="96" t="s">
        <v>785</v>
      </c>
      <c r="C861" s="95">
        <v>1999</v>
      </c>
      <c r="D861" s="96" t="s">
        <v>786</v>
      </c>
      <c r="E861" s="96" t="s">
        <v>787</v>
      </c>
      <c r="F861" s="101">
        <v>2.72</v>
      </c>
      <c r="G861" s="103"/>
      <c r="H861" s="104"/>
      <c r="I861" s="101">
        <v>2.5499999999999998</v>
      </c>
      <c r="J861" s="99">
        <f>Table336789101112131415[[#This Row],[Sched C/ County/ State]]-Table336789101112131415[[#This Row],[2025 Rate]]</f>
        <v>0.17</v>
      </c>
    </row>
    <row r="862" spans="1:10" x14ac:dyDescent="0.2">
      <c r="A862" s="93">
        <v>2942</v>
      </c>
      <c r="B862" s="96" t="s">
        <v>788</v>
      </c>
      <c r="C862" s="95">
        <v>2004</v>
      </c>
      <c r="D862" s="96" t="s">
        <v>385</v>
      </c>
      <c r="E862" s="96" t="s">
        <v>386</v>
      </c>
      <c r="F862" s="101">
        <v>51.9</v>
      </c>
      <c r="G862" s="103"/>
      <c r="H862" s="104"/>
      <c r="I862" s="101">
        <v>51.9</v>
      </c>
      <c r="J862" s="99">
        <f>Table336789101112131415[[#This Row],[Sched C/ County/ State]]-Table336789101112131415[[#This Row],[2025 Rate]]</f>
        <v>0</v>
      </c>
    </row>
    <row r="863" spans="1:10" x14ac:dyDescent="0.2">
      <c r="A863" s="93">
        <v>2943</v>
      </c>
      <c r="B863" s="96" t="s">
        <v>789</v>
      </c>
      <c r="C863" s="95">
        <v>2004</v>
      </c>
      <c r="D863" s="96" t="s">
        <v>385</v>
      </c>
      <c r="E863" s="96" t="s">
        <v>790</v>
      </c>
      <c r="F863" s="101">
        <v>22.36</v>
      </c>
      <c r="G863" s="103"/>
      <c r="H863" s="104"/>
      <c r="I863" s="101">
        <v>20.92</v>
      </c>
      <c r="J863" s="99">
        <f>Table336789101112131415[[#This Row],[Sched C/ County/ State]]-Table336789101112131415[[#This Row],[2025 Rate]]</f>
        <v>1.44</v>
      </c>
    </row>
    <row r="864" spans="1:10" x14ac:dyDescent="0.2">
      <c r="A864" s="93">
        <v>2944</v>
      </c>
      <c r="B864" s="96" t="s">
        <v>91</v>
      </c>
      <c r="C864" s="95">
        <v>2005</v>
      </c>
      <c r="D864" s="96" t="s">
        <v>385</v>
      </c>
      <c r="E864" s="96" t="s">
        <v>791</v>
      </c>
      <c r="F864" s="101">
        <v>55.9</v>
      </c>
      <c r="G864" s="103"/>
      <c r="H864" s="104"/>
      <c r="I864" s="101">
        <v>51.9</v>
      </c>
      <c r="J864" s="99">
        <f>Table336789101112131415[[#This Row],[Sched C/ County/ State]]-Table336789101112131415[[#This Row],[2025 Rate]]</f>
        <v>4</v>
      </c>
    </row>
    <row r="865" spans="1:10" x14ac:dyDescent="0.2">
      <c r="A865" s="93">
        <v>2955</v>
      </c>
      <c r="B865" s="96" t="s">
        <v>221</v>
      </c>
      <c r="C865" s="95">
        <v>2002</v>
      </c>
      <c r="D865" s="96" t="s">
        <v>792</v>
      </c>
      <c r="E865" s="96" t="s">
        <v>793</v>
      </c>
      <c r="F865" s="101">
        <v>18.04</v>
      </c>
      <c r="G865" s="103"/>
      <c r="H865" s="104"/>
      <c r="I865" s="101">
        <v>16.88</v>
      </c>
      <c r="J865" s="99">
        <f>Table336789101112131415[[#This Row],[Sched C/ County/ State]]-Table336789101112131415[[#This Row],[2025 Rate]]</f>
        <v>1.1599999999999999</v>
      </c>
    </row>
    <row r="866" spans="1:10" x14ac:dyDescent="0.2">
      <c r="A866" s="93">
        <v>2958</v>
      </c>
      <c r="B866" s="96" t="s">
        <v>794</v>
      </c>
      <c r="C866" s="95">
        <v>2003</v>
      </c>
      <c r="D866" s="96" t="s">
        <v>97</v>
      </c>
      <c r="F866" s="101">
        <v>16.87</v>
      </c>
      <c r="G866" s="103"/>
      <c r="H866" s="104"/>
      <c r="I866" s="101">
        <v>15.79</v>
      </c>
      <c r="J866" s="99">
        <f>Table336789101112131415[[#This Row],[Sched C/ County/ State]]-Table336789101112131415[[#This Row],[2025 Rate]]</f>
        <v>1.08</v>
      </c>
    </row>
    <row r="867" spans="1:10" x14ac:dyDescent="0.2">
      <c r="A867" s="93">
        <v>2969</v>
      </c>
      <c r="B867" s="96" t="s">
        <v>795</v>
      </c>
      <c r="C867" s="95">
        <v>2002</v>
      </c>
      <c r="D867" s="96" t="s">
        <v>796</v>
      </c>
      <c r="E867" s="96" t="s">
        <v>797</v>
      </c>
      <c r="F867" s="101">
        <v>71.599999999999994</v>
      </c>
      <c r="G867" s="103"/>
      <c r="H867" s="104"/>
      <c r="I867" s="101">
        <v>67</v>
      </c>
      <c r="J867" s="99">
        <f>Table336789101112131415[[#This Row],[Sched C/ County/ State]]-Table336789101112131415[[#This Row],[2025 Rate]]</f>
        <v>4.5999999999999996</v>
      </c>
    </row>
    <row r="868" spans="1:10" x14ac:dyDescent="0.2">
      <c r="A868" s="93">
        <v>2978</v>
      </c>
      <c r="B868" s="96" t="s">
        <v>798</v>
      </c>
      <c r="C868" s="95">
        <v>2004</v>
      </c>
      <c r="D868" s="96" t="s">
        <v>170</v>
      </c>
      <c r="E868" s="96" t="s">
        <v>799</v>
      </c>
      <c r="F868" s="101">
        <v>18.309999999999999</v>
      </c>
      <c r="G868" s="103"/>
      <c r="H868" s="104"/>
      <c r="I868" s="101">
        <v>17.13</v>
      </c>
      <c r="J868" s="99">
        <f>Table336789101112131415[[#This Row],[Sched C/ County/ State]]-Table336789101112131415[[#This Row],[2025 Rate]]</f>
        <v>1.18</v>
      </c>
    </row>
    <row r="869" spans="1:10" x14ac:dyDescent="0.2">
      <c r="A869" s="93">
        <v>2982</v>
      </c>
      <c r="B869" s="96" t="s">
        <v>159</v>
      </c>
      <c r="C869" s="95">
        <v>2002</v>
      </c>
      <c r="D869" s="96" t="s">
        <v>510</v>
      </c>
      <c r="E869" s="96" t="s">
        <v>800</v>
      </c>
      <c r="F869" s="101">
        <v>0.1</v>
      </c>
      <c r="G869" s="103"/>
      <c r="H869" s="104"/>
      <c r="I869" s="101">
        <v>0.09</v>
      </c>
      <c r="J869" s="99">
        <f>Table336789101112131415[[#This Row],[Sched C/ County/ State]]-Table336789101112131415[[#This Row],[2025 Rate]]</f>
        <v>0.01</v>
      </c>
    </row>
    <row r="870" spans="1:10" x14ac:dyDescent="0.2">
      <c r="A870" s="93">
        <v>2983</v>
      </c>
      <c r="B870" s="96" t="s">
        <v>159</v>
      </c>
      <c r="C870" s="95">
        <v>2002</v>
      </c>
      <c r="D870" s="96" t="s">
        <v>510</v>
      </c>
      <c r="E870" s="96" t="s">
        <v>800</v>
      </c>
      <c r="F870" s="101">
        <v>0.1</v>
      </c>
      <c r="G870" s="103"/>
      <c r="H870" s="104"/>
      <c r="I870" s="101">
        <v>0.09</v>
      </c>
      <c r="J870" s="99">
        <f>Table336789101112131415[[#This Row],[Sched C/ County/ State]]-Table336789101112131415[[#This Row],[2025 Rate]]</f>
        <v>0.01</v>
      </c>
    </row>
    <row r="871" spans="1:10" x14ac:dyDescent="0.2">
      <c r="A871" s="93">
        <v>2984</v>
      </c>
      <c r="B871" s="96" t="s">
        <v>159</v>
      </c>
      <c r="C871" s="95">
        <v>2002</v>
      </c>
      <c r="D871" s="96" t="s">
        <v>510</v>
      </c>
      <c r="E871" s="96" t="s">
        <v>800</v>
      </c>
      <c r="F871" s="101">
        <v>0.1</v>
      </c>
      <c r="G871" s="103"/>
      <c r="H871" s="104"/>
      <c r="I871" s="101">
        <v>0.09</v>
      </c>
      <c r="J871" s="99">
        <f>Table336789101112131415[[#This Row],[Sched C/ County/ State]]-Table336789101112131415[[#This Row],[2025 Rate]]</f>
        <v>0.01</v>
      </c>
    </row>
    <row r="872" spans="1:10" x14ac:dyDescent="0.2">
      <c r="A872" s="93">
        <v>2986</v>
      </c>
      <c r="B872" s="96" t="s">
        <v>159</v>
      </c>
      <c r="C872" s="95">
        <v>2002</v>
      </c>
      <c r="D872" s="96" t="s">
        <v>510</v>
      </c>
      <c r="E872" s="96" t="s">
        <v>800</v>
      </c>
      <c r="F872" s="101">
        <v>0.1</v>
      </c>
      <c r="G872" s="103"/>
      <c r="H872" s="104"/>
      <c r="I872" s="101">
        <v>0.09</v>
      </c>
      <c r="J872" s="99">
        <f>Table336789101112131415[[#This Row],[Sched C/ County/ State]]-Table336789101112131415[[#This Row],[2025 Rate]]</f>
        <v>0.01</v>
      </c>
    </row>
    <row r="873" spans="1:10" x14ac:dyDescent="0.2">
      <c r="A873" s="93">
        <v>2987</v>
      </c>
      <c r="B873" s="96" t="s">
        <v>159</v>
      </c>
      <c r="C873" s="95">
        <v>2002</v>
      </c>
      <c r="D873" s="96" t="s">
        <v>510</v>
      </c>
      <c r="E873" s="96" t="s">
        <v>800</v>
      </c>
      <c r="F873" s="101">
        <v>0.1</v>
      </c>
      <c r="G873" s="103"/>
      <c r="H873" s="104"/>
      <c r="I873" s="101">
        <v>0.09</v>
      </c>
      <c r="J873" s="99">
        <f>Table336789101112131415[[#This Row],[Sched C/ County/ State]]-Table336789101112131415[[#This Row],[2025 Rate]]</f>
        <v>0.01</v>
      </c>
    </row>
    <row r="874" spans="1:10" x14ac:dyDescent="0.2">
      <c r="A874" s="93">
        <v>2988</v>
      </c>
      <c r="B874" s="96" t="s">
        <v>159</v>
      </c>
      <c r="C874" s="95">
        <v>2002</v>
      </c>
      <c r="D874" s="96" t="s">
        <v>510</v>
      </c>
      <c r="E874" s="96" t="s">
        <v>800</v>
      </c>
      <c r="F874" s="101">
        <v>0.1</v>
      </c>
      <c r="G874" s="103"/>
      <c r="H874" s="104"/>
      <c r="I874" s="101">
        <v>0.09</v>
      </c>
      <c r="J874" s="99">
        <f>Table336789101112131415[[#This Row],[Sched C/ County/ State]]-Table336789101112131415[[#This Row],[2025 Rate]]</f>
        <v>0.01</v>
      </c>
    </row>
    <row r="875" spans="1:10" x14ac:dyDescent="0.2">
      <c r="A875" s="93">
        <v>2995</v>
      </c>
      <c r="B875" s="96" t="s">
        <v>801</v>
      </c>
      <c r="C875" s="95">
        <v>2004</v>
      </c>
      <c r="D875" s="96" t="s">
        <v>205</v>
      </c>
      <c r="E875" s="96" t="s">
        <v>802</v>
      </c>
      <c r="F875" s="101">
        <v>71.56</v>
      </c>
      <c r="G875" s="103"/>
      <c r="H875" s="104"/>
      <c r="I875" s="101">
        <v>66.97</v>
      </c>
      <c r="J875" s="99">
        <f>Table336789101112131415[[#This Row],[Sched C/ County/ State]]-Table336789101112131415[[#This Row],[2025 Rate]]</f>
        <v>4.59</v>
      </c>
    </row>
    <row r="876" spans="1:10" x14ac:dyDescent="0.2">
      <c r="A876" s="93">
        <v>2996</v>
      </c>
      <c r="B876" s="96" t="s">
        <v>803</v>
      </c>
      <c r="C876" s="95">
        <v>2004</v>
      </c>
      <c r="F876" s="101">
        <v>1.38</v>
      </c>
      <c r="G876" s="103"/>
      <c r="H876" s="104"/>
      <c r="I876" s="101">
        <v>1.28</v>
      </c>
      <c r="J876" s="99">
        <f>Table336789101112131415[[#This Row],[Sched C/ County/ State]]-Table336789101112131415[[#This Row],[2025 Rate]]</f>
        <v>0.1</v>
      </c>
    </row>
    <row r="877" spans="1:10" x14ac:dyDescent="0.2">
      <c r="A877" s="93">
        <v>2998</v>
      </c>
      <c r="B877" s="96" t="s">
        <v>804</v>
      </c>
      <c r="C877" s="95">
        <v>2000</v>
      </c>
      <c r="D877" s="96" t="s">
        <v>805</v>
      </c>
      <c r="E877" s="96" t="s">
        <v>806</v>
      </c>
      <c r="F877" s="101">
        <v>2.46</v>
      </c>
      <c r="G877" s="103"/>
      <c r="H877" s="104"/>
      <c r="I877" s="101">
        <v>2.2999999999999998</v>
      </c>
      <c r="J877" s="99">
        <f>Table336789101112131415[[#This Row],[Sched C/ County/ State]]-Table336789101112131415[[#This Row],[2025 Rate]]</f>
        <v>0.16</v>
      </c>
    </row>
    <row r="878" spans="1:10" x14ac:dyDescent="0.2">
      <c r="A878" s="93">
        <v>2999</v>
      </c>
      <c r="B878" s="96" t="s">
        <v>807</v>
      </c>
      <c r="C878" s="95">
        <v>2000</v>
      </c>
      <c r="D878" s="96" t="s">
        <v>805</v>
      </c>
      <c r="E878" s="96" t="s">
        <v>808</v>
      </c>
      <c r="F878" s="101">
        <v>2.46</v>
      </c>
      <c r="G878" s="103"/>
      <c r="H878" s="104"/>
      <c r="I878" s="101">
        <v>2.2999999999999998</v>
      </c>
      <c r="J878" s="99">
        <f>Table336789101112131415[[#This Row],[Sched C/ County/ State]]-Table336789101112131415[[#This Row],[2025 Rate]]</f>
        <v>0.16</v>
      </c>
    </row>
    <row r="879" spans="1:10" x14ac:dyDescent="0.2">
      <c r="A879" s="93">
        <v>3002</v>
      </c>
      <c r="B879" s="96" t="s">
        <v>809</v>
      </c>
      <c r="C879" s="95">
        <v>2007</v>
      </c>
      <c r="D879" s="96" t="s">
        <v>810</v>
      </c>
      <c r="E879" s="96" t="s">
        <v>811</v>
      </c>
      <c r="F879" s="101">
        <v>78.22</v>
      </c>
      <c r="G879" s="103">
        <f>Table336789101112131415[[#This Row],[Sched C/ County/ State]]+0.3</f>
        <v>78.52</v>
      </c>
      <c r="H879" s="104"/>
      <c r="I879" s="101">
        <v>72.569999999999993</v>
      </c>
      <c r="J879" s="99">
        <f>Table336789101112131415[[#This Row],[Sched C/ County/ State]]-Table336789101112131415[[#This Row],[2025 Rate]]</f>
        <v>5.65</v>
      </c>
    </row>
    <row r="880" spans="1:10" x14ac:dyDescent="0.2">
      <c r="A880" s="93">
        <v>3003</v>
      </c>
      <c r="B880" s="96" t="s">
        <v>809</v>
      </c>
      <c r="C880" s="95">
        <v>2007</v>
      </c>
      <c r="D880" s="96" t="s">
        <v>810</v>
      </c>
      <c r="E880" s="96" t="s">
        <v>811</v>
      </c>
      <c r="F880" s="101">
        <v>78.22</v>
      </c>
      <c r="G880" s="103">
        <f>Table336789101112131415[[#This Row],[Sched C/ County/ State]]+0.3</f>
        <v>78.52</v>
      </c>
      <c r="H880" s="104"/>
      <c r="I880" s="101">
        <v>72.569999999999993</v>
      </c>
      <c r="J880" s="99">
        <f>Table336789101112131415[[#This Row],[Sched C/ County/ State]]-Table336789101112131415[[#This Row],[2025 Rate]]</f>
        <v>5.65</v>
      </c>
    </row>
    <row r="881" spans="1:10" x14ac:dyDescent="0.2">
      <c r="A881" s="93">
        <v>3005</v>
      </c>
      <c r="B881" s="96" t="s">
        <v>812</v>
      </c>
      <c r="C881" s="95">
        <v>2010</v>
      </c>
      <c r="D881" s="96" t="s">
        <v>810</v>
      </c>
      <c r="E881" s="96" t="s">
        <v>813</v>
      </c>
      <c r="F881" s="101">
        <v>78.22</v>
      </c>
      <c r="G881" s="103">
        <f>Table336789101112131415[[#This Row],[Sched C/ County/ State]]+0.3</f>
        <v>78.52</v>
      </c>
      <c r="H881" s="104"/>
      <c r="I881" s="101">
        <v>72.569999999999993</v>
      </c>
      <c r="J881" s="99">
        <f>Table336789101112131415[[#This Row],[Sched C/ County/ State]]-Table336789101112131415[[#This Row],[2025 Rate]]</f>
        <v>5.65</v>
      </c>
    </row>
    <row r="882" spans="1:10" x14ac:dyDescent="0.2">
      <c r="A882" s="93">
        <v>3006</v>
      </c>
      <c r="B882" s="94" t="s">
        <v>812</v>
      </c>
      <c r="C882" s="95">
        <v>2015</v>
      </c>
      <c r="D882" s="96" t="s">
        <v>810</v>
      </c>
      <c r="E882" s="96" t="s">
        <v>814</v>
      </c>
      <c r="F882" s="101">
        <v>78.22</v>
      </c>
      <c r="G882" s="103">
        <f>Table336789101112131415[[#This Row],[Sched C/ County/ State]]+0.3</f>
        <v>78.52</v>
      </c>
      <c r="H882" s="106"/>
      <c r="I882" s="101">
        <v>72.569999999999993</v>
      </c>
      <c r="J882" s="99">
        <f>Table336789101112131415[[#This Row],[Sched C/ County/ State]]-Table336789101112131415[[#This Row],[2025 Rate]]</f>
        <v>5.65</v>
      </c>
    </row>
    <row r="883" spans="1:10" x14ac:dyDescent="0.2">
      <c r="A883" s="93">
        <v>3007</v>
      </c>
      <c r="B883" s="94" t="s">
        <v>815</v>
      </c>
      <c r="C883" s="95">
        <v>2019</v>
      </c>
      <c r="D883" s="96" t="s">
        <v>810</v>
      </c>
      <c r="E883" s="96" t="s">
        <v>816</v>
      </c>
      <c r="F883" s="101">
        <v>78.22</v>
      </c>
      <c r="G883" s="103">
        <f>Table336789101112131415[[#This Row],[Sched C/ County/ State]]+0.3</f>
        <v>78.52</v>
      </c>
      <c r="H883" s="104"/>
      <c r="I883" s="101">
        <v>72.569999999999993</v>
      </c>
      <c r="J883" s="99">
        <f>Table336789101112131415[[#This Row],[Sched C/ County/ State]]-Table336789101112131415[[#This Row],[2025 Rate]]</f>
        <v>5.65</v>
      </c>
    </row>
    <row r="884" spans="1:10" x14ac:dyDescent="0.2">
      <c r="A884" s="93">
        <v>3008</v>
      </c>
      <c r="B884" s="94" t="s">
        <v>815</v>
      </c>
      <c r="C884" s="95">
        <v>2021</v>
      </c>
      <c r="D884" s="96" t="s">
        <v>810</v>
      </c>
      <c r="E884" s="96" t="s">
        <v>814</v>
      </c>
      <c r="F884" s="101">
        <v>78.22</v>
      </c>
      <c r="G884" s="103">
        <f>Table336789101112131415[[#This Row],[Sched C/ County/ State]]+0.3</f>
        <v>78.52</v>
      </c>
      <c r="H884" s="104"/>
      <c r="I884" s="101">
        <v>72.569999999999993</v>
      </c>
      <c r="J884" s="99">
        <f>Table336789101112131415[[#This Row],[Sched C/ County/ State]]-Table336789101112131415[[#This Row],[2025 Rate]]</f>
        <v>5.65</v>
      </c>
    </row>
    <row r="885" spans="1:10" x14ac:dyDescent="0.2">
      <c r="A885" s="93">
        <v>3009</v>
      </c>
      <c r="B885" s="94" t="s">
        <v>815</v>
      </c>
      <c r="C885" s="95">
        <v>2021</v>
      </c>
      <c r="D885" s="96" t="s">
        <v>810</v>
      </c>
      <c r="E885" s="96" t="s">
        <v>816</v>
      </c>
      <c r="F885" s="101">
        <v>78.22</v>
      </c>
      <c r="G885" s="103">
        <f>Table336789101112131415[[#This Row],[Sched C/ County/ State]]+0.3</f>
        <v>78.52</v>
      </c>
      <c r="H885" s="104"/>
      <c r="I885" s="101">
        <v>72.569999999999993</v>
      </c>
      <c r="J885" s="99">
        <f>Table336789101112131415[[#This Row],[Sched C/ County/ State]]-Table336789101112131415[[#This Row],[2025 Rate]]</f>
        <v>5.65</v>
      </c>
    </row>
    <row r="886" spans="1:10" x14ac:dyDescent="0.2">
      <c r="A886" s="93" t="s">
        <v>817</v>
      </c>
      <c r="B886" s="94" t="s">
        <v>562</v>
      </c>
      <c r="C886" s="95">
        <v>2021</v>
      </c>
      <c r="D886" s="96" t="s">
        <v>810</v>
      </c>
      <c r="F886" s="101">
        <v>8.9499999999999993</v>
      </c>
      <c r="G886" s="105"/>
      <c r="H886" s="104"/>
      <c r="I886" s="101">
        <v>8.3800000000000008</v>
      </c>
      <c r="J886" s="99">
        <f>Table336789101112131415[[#This Row],[Sched C/ County/ State]]-Table336789101112131415[[#This Row],[2025 Rate]]</f>
        <v>0.56999999999999995</v>
      </c>
    </row>
    <row r="887" spans="1:10" x14ac:dyDescent="0.2">
      <c r="A887" s="93" t="s">
        <v>818</v>
      </c>
      <c r="B887" s="94" t="s">
        <v>819</v>
      </c>
      <c r="C887" s="95">
        <v>2021</v>
      </c>
      <c r="D887" s="96" t="s">
        <v>810</v>
      </c>
      <c r="F887" s="101">
        <v>6.86</v>
      </c>
      <c r="G887" s="105"/>
      <c r="H887" s="104"/>
      <c r="I887" s="101">
        <v>6.42</v>
      </c>
      <c r="J887" s="99">
        <f>Table336789101112131415[[#This Row],[Sched C/ County/ State]]-Table336789101112131415[[#This Row],[2025 Rate]]</f>
        <v>0.44</v>
      </c>
    </row>
    <row r="888" spans="1:10" x14ac:dyDescent="0.2">
      <c r="A888" s="93">
        <v>3048</v>
      </c>
      <c r="B888" s="94" t="s">
        <v>820</v>
      </c>
      <c r="C888" s="95">
        <v>2024</v>
      </c>
      <c r="F888" s="101">
        <v>122.4</v>
      </c>
      <c r="G888" s="105"/>
      <c r="H888" s="104"/>
      <c r="I888" s="101">
        <v>114.54</v>
      </c>
      <c r="J888" s="99">
        <f>Table336789101112131415[[#This Row],[Sched C/ County/ State]]-Table336789101112131415[[#This Row],[2025 Rate]]</f>
        <v>7.86</v>
      </c>
    </row>
    <row r="889" spans="1:10" x14ac:dyDescent="0.2">
      <c r="A889" s="93">
        <v>3049</v>
      </c>
      <c r="B889" s="94" t="s">
        <v>820</v>
      </c>
      <c r="C889" s="95">
        <v>2024</v>
      </c>
      <c r="F889" s="101">
        <v>122.4</v>
      </c>
      <c r="G889" s="105"/>
      <c r="H889" s="104"/>
      <c r="I889" s="101">
        <v>114.54</v>
      </c>
      <c r="J889" s="99">
        <f>Table336789101112131415[[#This Row],[Sched C/ County/ State]]-Table336789101112131415[[#This Row],[2025 Rate]]</f>
        <v>7.86</v>
      </c>
    </row>
    <row r="890" spans="1:10" x14ac:dyDescent="0.2">
      <c r="A890" s="93">
        <v>3050</v>
      </c>
      <c r="B890" s="94" t="s">
        <v>820</v>
      </c>
      <c r="C890" s="95">
        <v>2024</v>
      </c>
      <c r="F890" s="101">
        <v>122.4</v>
      </c>
      <c r="G890" s="105"/>
      <c r="H890" s="104"/>
      <c r="I890" s="101">
        <v>114.54</v>
      </c>
      <c r="J890" s="99">
        <f>Table336789101112131415[[#This Row],[Sched C/ County/ State]]-Table336789101112131415[[#This Row],[2025 Rate]]</f>
        <v>7.86</v>
      </c>
    </row>
    <row r="891" spans="1:10" x14ac:dyDescent="0.2">
      <c r="A891" s="93">
        <v>3051</v>
      </c>
      <c r="B891" s="96" t="s">
        <v>820</v>
      </c>
      <c r="C891" s="95">
        <v>2010</v>
      </c>
      <c r="F891" s="101">
        <v>122.4</v>
      </c>
      <c r="G891" s="103"/>
      <c r="H891" s="104"/>
      <c r="I891" s="101">
        <v>114.54</v>
      </c>
      <c r="J891" s="99">
        <f>Table336789101112131415[[#This Row],[Sched C/ County/ State]]-Table336789101112131415[[#This Row],[2025 Rate]]</f>
        <v>7.86</v>
      </c>
    </row>
    <row r="892" spans="1:10" x14ac:dyDescent="0.2">
      <c r="A892" s="93">
        <v>3052</v>
      </c>
      <c r="B892" s="96" t="s">
        <v>821</v>
      </c>
      <c r="C892" s="95">
        <v>2010</v>
      </c>
      <c r="F892" s="101">
        <v>6.9</v>
      </c>
      <c r="G892" s="103"/>
      <c r="H892" s="104"/>
      <c r="I892" s="101">
        <v>6.46</v>
      </c>
      <c r="J892" s="99">
        <f>Table336789101112131415[[#This Row],[Sched C/ County/ State]]-Table336789101112131415[[#This Row],[2025 Rate]]</f>
        <v>0.44</v>
      </c>
    </row>
    <row r="893" spans="1:10" x14ac:dyDescent="0.2">
      <c r="A893" s="93">
        <v>3055</v>
      </c>
      <c r="B893" s="94" t="s">
        <v>822</v>
      </c>
      <c r="C893" s="95">
        <v>2011</v>
      </c>
      <c r="D893" s="96" t="s">
        <v>205</v>
      </c>
      <c r="E893" s="96" t="s">
        <v>823</v>
      </c>
      <c r="F893" s="101">
        <v>44.12</v>
      </c>
      <c r="G893" s="103"/>
      <c r="H893" s="104"/>
      <c r="I893" s="101">
        <v>41.29</v>
      </c>
      <c r="J893" s="99">
        <f>Table336789101112131415[[#This Row],[Sched C/ County/ State]]-Table336789101112131415[[#This Row],[2025 Rate]]</f>
        <v>2.83</v>
      </c>
    </row>
    <row r="894" spans="1:10" x14ac:dyDescent="0.2">
      <c r="A894" s="93">
        <v>3063</v>
      </c>
      <c r="B894" s="94" t="s">
        <v>824</v>
      </c>
      <c r="C894" s="95">
        <v>2019</v>
      </c>
      <c r="D894" s="96" t="s">
        <v>825</v>
      </c>
      <c r="E894" s="96">
        <v>3430</v>
      </c>
      <c r="F894" s="101">
        <v>10.3</v>
      </c>
      <c r="G894" s="103"/>
      <c r="H894" s="104"/>
      <c r="I894" s="101">
        <v>9.56</v>
      </c>
      <c r="J894" s="99">
        <f>Table336789101112131415[[#This Row],[Sched C/ County/ State]]-Table336789101112131415[[#This Row],[2025 Rate]]</f>
        <v>0.74</v>
      </c>
    </row>
    <row r="895" spans="1:10" x14ac:dyDescent="0.2">
      <c r="A895" s="93">
        <v>3064</v>
      </c>
      <c r="B895" s="94" t="s">
        <v>826</v>
      </c>
      <c r="C895" s="95">
        <v>2019</v>
      </c>
      <c r="D895" s="96" t="s">
        <v>140</v>
      </c>
      <c r="E895" s="96" t="s">
        <v>827</v>
      </c>
      <c r="F895" s="101">
        <v>10.3</v>
      </c>
      <c r="G895" s="103"/>
      <c r="H895" s="104"/>
      <c r="I895" s="101">
        <v>9.56</v>
      </c>
      <c r="J895" s="99">
        <f>Table336789101112131415[[#This Row],[Sched C/ County/ State]]-Table336789101112131415[[#This Row],[2025 Rate]]</f>
        <v>0.74</v>
      </c>
    </row>
    <row r="896" spans="1:10" x14ac:dyDescent="0.2">
      <c r="A896" s="93">
        <v>3080</v>
      </c>
      <c r="B896" s="94" t="s">
        <v>828</v>
      </c>
      <c r="C896" s="95">
        <v>2021</v>
      </c>
      <c r="D896" s="96" t="s">
        <v>829</v>
      </c>
      <c r="E896" s="96" t="s">
        <v>830</v>
      </c>
      <c r="F896" s="101">
        <v>15.36</v>
      </c>
      <c r="G896" s="103"/>
      <c r="H896" s="104"/>
      <c r="I896" s="101">
        <v>14.37</v>
      </c>
      <c r="J896" s="99">
        <f>Table336789101112131415[[#This Row],[Sched C/ County/ State]]-Table336789101112131415[[#This Row],[2025 Rate]]</f>
        <v>0.99</v>
      </c>
    </row>
    <row r="897" spans="1:10" x14ac:dyDescent="0.2">
      <c r="A897" s="93">
        <v>3081</v>
      </c>
      <c r="B897" s="94" t="s">
        <v>828</v>
      </c>
      <c r="C897" s="95">
        <v>2021</v>
      </c>
      <c r="D897" s="96" t="s">
        <v>829</v>
      </c>
      <c r="E897" s="96" t="s">
        <v>830</v>
      </c>
      <c r="F897" s="101">
        <v>15.36</v>
      </c>
      <c r="G897" s="103"/>
      <c r="H897" s="104"/>
      <c r="I897" s="101">
        <v>14.37</v>
      </c>
      <c r="J897" s="99">
        <f>Table336789101112131415[[#This Row],[Sched C/ County/ State]]-Table336789101112131415[[#This Row],[2025 Rate]]</f>
        <v>0.99</v>
      </c>
    </row>
    <row r="898" spans="1:10" x14ac:dyDescent="0.2">
      <c r="A898" s="93">
        <v>3082</v>
      </c>
      <c r="B898" s="94" t="s">
        <v>828</v>
      </c>
      <c r="C898" s="95">
        <v>2021</v>
      </c>
      <c r="D898" s="96" t="s">
        <v>829</v>
      </c>
      <c r="E898" s="96" t="s">
        <v>830</v>
      </c>
      <c r="F898" s="101">
        <v>15.36</v>
      </c>
      <c r="G898" s="103"/>
      <c r="H898" s="104"/>
      <c r="I898" s="101">
        <v>14.37</v>
      </c>
      <c r="J898" s="99">
        <f>Table336789101112131415[[#This Row],[Sched C/ County/ State]]-Table336789101112131415[[#This Row],[2025 Rate]]</f>
        <v>0.99</v>
      </c>
    </row>
    <row r="899" spans="1:10" x14ac:dyDescent="0.2">
      <c r="A899" s="93">
        <v>3086</v>
      </c>
      <c r="B899" s="94" t="s">
        <v>828</v>
      </c>
      <c r="C899" s="95">
        <v>2021</v>
      </c>
      <c r="D899" s="96" t="s">
        <v>829</v>
      </c>
      <c r="E899" s="96" t="s">
        <v>830</v>
      </c>
      <c r="F899" s="101">
        <v>15.36</v>
      </c>
      <c r="G899" s="103"/>
      <c r="H899" s="104"/>
      <c r="I899" s="101">
        <v>14.37</v>
      </c>
      <c r="J899" s="99">
        <f>Table336789101112131415[[#This Row],[Sched C/ County/ State]]-Table336789101112131415[[#This Row],[2025 Rate]]</f>
        <v>0.99</v>
      </c>
    </row>
    <row r="900" spans="1:10" x14ac:dyDescent="0.2">
      <c r="A900" s="93">
        <v>3087</v>
      </c>
      <c r="B900" s="94" t="s">
        <v>828</v>
      </c>
      <c r="C900" s="95">
        <v>2020</v>
      </c>
      <c r="D900" s="96" t="s">
        <v>829</v>
      </c>
      <c r="E900" s="96" t="s">
        <v>830</v>
      </c>
      <c r="F900" s="101">
        <v>15.36</v>
      </c>
      <c r="G900" s="103"/>
      <c r="H900" s="104"/>
      <c r="I900" s="101">
        <v>14.37</v>
      </c>
      <c r="J900" s="99">
        <f>Table336789101112131415[[#This Row],[Sched C/ County/ State]]-Table336789101112131415[[#This Row],[2025 Rate]]</f>
        <v>0.99</v>
      </c>
    </row>
    <row r="901" spans="1:10" x14ac:dyDescent="0.2">
      <c r="A901" s="93">
        <v>3089</v>
      </c>
      <c r="B901" s="94" t="s">
        <v>828</v>
      </c>
      <c r="C901" s="95">
        <v>2021</v>
      </c>
      <c r="D901" s="96" t="s">
        <v>829</v>
      </c>
      <c r="E901" s="96" t="s">
        <v>830</v>
      </c>
      <c r="F901" s="101">
        <v>15.36</v>
      </c>
      <c r="G901" s="103"/>
      <c r="H901" s="104"/>
      <c r="I901" s="101">
        <v>14.37</v>
      </c>
      <c r="J901" s="99">
        <f>Table336789101112131415[[#This Row],[Sched C/ County/ State]]-Table336789101112131415[[#This Row],[2025 Rate]]</f>
        <v>0.99</v>
      </c>
    </row>
    <row r="902" spans="1:10" ht="30" x14ac:dyDescent="0.2">
      <c r="A902" s="93">
        <v>3091</v>
      </c>
      <c r="B902" s="94" t="s">
        <v>831</v>
      </c>
      <c r="C902" s="95">
        <v>2019</v>
      </c>
      <c r="D902" s="96" t="s">
        <v>97</v>
      </c>
      <c r="E902" s="96" t="s">
        <v>831</v>
      </c>
      <c r="F902" s="101">
        <v>20.07</v>
      </c>
      <c r="G902" s="103"/>
      <c r="H902" s="104"/>
      <c r="I902" s="101">
        <v>19.37</v>
      </c>
      <c r="J902" s="99">
        <f>Table336789101112131415[[#This Row],[Sched C/ County/ State]]-Table336789101112131415[[#This Row],[2025 Rate]]</f>
        <v>0.7</v>
      </c>
    </row>
    <row r="903" spans="1:10" x14ac:dyDescent="0.2">
      <c r="A903" s="93">
        <v>3094</v>
      </c>
      <c r="B903" s="94" t="s">
        <v>832</v>
      </c>
      <c r="C903" s="95">
        <v>2016</v>
      </c>
      <c r="D903" s="96" t="s">
        <v>97</v>
      </c>
      <c r="E903" s="96" t="s">
        <v>833</v>
      </c>
      <c r="F903" s="101">
        <v>58.85</v>
      </c>
      <c r="G903" s="105"/>
      <c r="H903" s="106"/>
      <c r="I903" s="101">
        <v>54.64</v>
      </c>
      <c r="J903" s="99">
        <f>Table336789101112131415[[#This Row],[Sched C/ County/ State]]-Table336789101112131415[[#This Row],[2025 Rate]]</f>
        <v>4.21</v>
      </c>
    </row>
    <row r="904" spans="1:10" x14ac:dyDescent="0.2">
      <c r="A904" s="93">
        <v>3095</v>
      </c>
      <c r="B904" s="94" t="s">
        <v>834</v>
      </c>
      <c r="C904" s="95">
        <v>2017</v>
      </c>
      <c r="D904" s="96" t="s">
        <v>97</v>
      </c>
      <c r="E904" s="96" t="s">
        <v>835</v>
      </c>
      <c r="F904" s="101">
        <v>71.599999999999994</v>
      </c>
      <c r="G904" s="105"/>
      <c r="H904" s="106"/>
      <c r="I904" s="101">
        <v>67</v>
      </c>
      <c r="J904" s="99">
        <f>Table336789101112131415[[#This Row],[Sched C/ County/ State]]-Table336789101112131415[[#This Row],[2025 Rate]]</f>
        <v>4.5999999999999996</v>
      </c>
    </row>
    <row r="905" spans="1:10" x14ac:dyDescent="0.2">
      <c r="A905" s="93">
        <v>3096</v>
      </c>
      <c r="B905" s="94" t="s">
        <v>836</v>
      </c>
      <c r="C905" s="95">
        <v>2016</v>
      </c>
      <c r="D905" s="96" t="s">
        <v>97</v>
      </c>
      <c r="F905" s="101">
        <v>6.8</v>
      </c>
      <c r="G905" s="105"/>
      <c r="H905" s="106"/>
      <c r="I905" s="101">
        <v>6.31</v>
      </c>
      <c r="J905" s="99">
        <f>Table336789101112131415[[#This Row],[Sched C/ County/ State]]-Table336789101112131415[[#This Row],[2025 Rate]]</f>
        <v>0.49</v>
      </c>
    </row>
    <row r="906" spans="1:10" x14ac:dyDescent="0.2">
      <c r="A906" s="93">
        <v>3097</v>
      </c>
      <c r="B906" s="94" t="s">
        <v>837</v>
      </c>
      <c r="C906" s="95">
        <v>2016</v>
      </c>
      <c r="D906" s="96" t="s">
        <v>97</v>
      </c>
      <c r="E906" s="96" t="s">
        <v>838</v>
      </c>
      <c r="F906" s="101">
        <v>58.85</v>
      </c>
      <c r="G906" s="105"/>
      <c r="H906" s="106"/>
      <c r="I906" s="101">
        <v>54.64</v>
      </c>
      <c r="J906" s="99">
        <f>Table336789101112131415[[#This Row],[Sched C/ County/ State]]-Table336789101112131415[[#This Row],[2025 Rate]]</f>
        <v>4.21</v>
      </c>
    </row>
    <row r="907" spans="1:10" x14ac:dyDescent="0.2">
      <c r="A907" s="93">
        <v>3098</v>
      </c>
      <c r="B907" s="94" t="s">
        <v>839</v>
      </c>
      <c r="C907" s="95">
        <v>2017</v>
      </c>
      <c r="D907" s="96" t="s">
        <v>97</v>
      </c>
      <c r="F907" s="101">
        <v>6.8</v>
      </c>
      <c r="G907" s="105"/>
      <c r="H907" s="106"/>
      <c r="I907" s="101">
        <v>6.31</v>
      </c>
      <c r="J907" s="99">
        <f>Table336789101112131415[[#This Row],[Sched C/ County/ State]]-Table336789101112131415[[#This Row],[2025 Rate]]</f>
        <v>0.49</v>
      </c>
    </row>
    <row r="908" spans="1:10" x14ac:dyDescent="0.2">
      <c r="A908" s="93">
        <v>3099</v>
      </c>
      <c r="B908" s="94" t="s">
        <v>840</v>
      </c>
      <c r="C908" s="95">
        <v>2016</v>
      </c>
      <c r="D908" s="96" t="s">
        <v>841</v>
      </c>
      <c r="E908" s="96" t="s">
        <v>842</v>
      </c>
      <c r="F908" s="101">
        <v>58.55</v>
      </c>
      <c r="G908" s="105"/>
      <c r="H908" s="106"/>
      <c r="I908" s="101">
        <v>54.33</v>
      </c>
      <c r="J908" s="99">
        <f>Table336789101112131415[[#This Row],[Sched C/ County/ State]]-Table336789101112131415[[#This Row],[2025 Rate]]</f>
        <v>4.22</v>
      </c>
    </row>
    <row r="909" spans="1:10" x14ac:dyDescent="0.2">
      <c r="A909" s="93">
        <v>3100</v>
      </c>
      <c r="B909" s="96" t="s">
        <v>843</v>
      </c>
      <c r="C909" s="95">
        <v>2009</v>
      </c>
      <c r="D909" s="96" t="s">
        <v>205</v>
      </c>
      <c r="E909" s="96" t="s">
        <v>844</v>
      </c>
      <c r="F909" s="101">
        <v>71.56</v>
      </c>
      <c r="G909" s="103">
        <f>Table336789101112131415[[#This Row],[Sched C/ County/ State]]+0.3</f>
        <v>71.86</v>
      </c>
      <c r="H909" s="104"/>
      <c r="I909" s="101">
        <v>66.97</v>
      </c>
      <c r="J909" s="99">
        <f>Table336789101112131415[[#This Row],[Sched C/ County/ State]]-Table336789101112131415[[#This Row],[2025 Rate]]</f>
        <v>4.59</v>
      </c>
    </row>
    <row r="910" spans="1:10" x14ac:dyDescent="0.2">
      <c r="A910" s="93">
        <v>3101</v>
      </c>
      <c r="B910" s="96" t="s">
        <v>99</v>
      </c>
      <c r="C910" s="95">
        <v>2009</v>
      </c>
      <c r="D910" s="96" t="s">
        <v>205</v>
      </c>
      <c r="F910" s="101">
        <v>11.5</v>
      </c>
      <c r="G910" s="103"/>
      <c r="H910" s="104"/>
      <c r="I910" s="101">
        <v>10.81</v>
      </c>
      <c r="J910" s="99">
        <f>Table336789101112131415[[#This Row],[Sched C/ County/ State]]-Table336789101112131415[[#This Row],[2025 Rate]]</f>
        <v>0.69</v>
      </c>
    </row>
    <row r="911" spans="1:10" x14ac:dyDescent="0.2">
      <c r="A911" s="93">
        <v>3102</v>
      </c>
      <c r="B911" s="96" t="s">
        <v>843</v>
      </c>
      <c r="C911" s="95">
        <v>2012</v>
      </c>
      <c r="D911" s="96" t="s">
        <v>205</v>
      </c>
      <c r="E911" s="96" t="s">
        <v>844</v>
      </c>
      <c r="F911" s="101">
        <v>71.56</v>
      </c>
      <c r="G911" s="103">
        <f>Table336789101112131415[[#This Row],[Sched C/ County/ State]]+0.3</f>
        <v>71.86</v>
      </c>
      <c r="H911" s="104"/>
      <c r="I911" s="101">
        <v>66.97</v>
      </c>
      <c r="J911" s="99">
        <f>Table336789101112131415[[#This Row],[Sched C/ County/ State]]-Table336789101112131415[[#This Row],[2025 Rate]]</f>
        <v>4.59</v>
      </c>
    </row>
    <row r="912" spans="1:10" x14ac:dyDescent="0.2">
      <c r="A912" s="93">
        <v>3103</v>
      </c>
      <c r="B912" s="96" t="s">
        <v>99</v>
      </c>
      <c r="C912" s="95">
        <v>2012</v>
      </c>
      <c r="D912" s="96" t="s">
        <v>205</v>
      </c>
      <c r="F912" s="101">
        <v>11.5</v>
      </c>
      <c r="G912" s="103"/>
      <c r="H912" s="104"/>
      <c r="I912" s="101">
        <v>10.81</v>
      </c>
      <c r="J912" s="99">
        <f>Table336789101112131415[[#This Row],[Sched C/ County/ State]]-Table336789101112131415[[#This Row],[2025 Rate]]</f>
        <v>0.69</v>
      </c>
    </row>
    <row r="913" spans="1:10" x14ac:dyDescent="0.2">
      <c r="A913" s="93">
        <v>3104</v>
      </c>
      <c r="B913" s="96" t="s">
        <v>845</v>
      </c>
      <c r="C913" s="95">
        <v>2014</v>
      </c>
      <c r="D913" s="96" t="s">
        <v>205</v>
      </c>
      <c r="E913" s="96" t="s">
        <v>846</v>
      </c>
      <c r="F913" s="101">
        <v>71.56</v>
      </c>
      <c r="G913" s="103">
        <f>Table336789101112131415[[#This Row],[Sched C/ County/ State]]+0.3</f>
        <v>71.86</v>
      </c>
      <c r="H913" s="104"/>
      <c r="I913" s="101">
        <v>66.97</v>
      </c>
      <c r="J913" s="99">
        <f>Table336789101112131415[[#This Row],[Sched C/ County/ State]]-Table336789101112131415[[#This Row],[2025 Rate]]</f>
        <v>4.59</v>
      </c>
    </row>
    <row r="914" spans="1:10" x14ac:dyDescent="0.2">
      <c r="A914" s="93">
        <v>3105</v>
      </c>
      <c r="B914" s="94" t="s">
        <v>845</v>
      </c>
      <c r="C914" s="95">
        <v>2015</v>
      </c>
      <c r="D914" s="96" t="s">
        <v>205</v>
      </c>
      <c r="E914" s="96" t="s">
        <v>847</v>
      </c>
      <c r="F914" s="101">
        <v>71.56</v>
      </c>
      <c r="G914" s="103">
        <f>Table336789101112131415[[#This Row],[Sched C/ County/ State]]+0.3</f>
        <v>71.86</v>
      </c>
      <c r="H914" s="106"/>
      <c r="I914" s="101">
        <v>66.97</v>
      </c>
      <c r="J914" s="99">
        <f>Table336789101112131415[[#This Row],[Sched C/ County/ State]]-Table336789101112131415[[#This Row],[2025 Rate]]</f>
        <v>4.59</v>
      </c>
    </row>
    <row r="915" spans="1:10" x14ac:dyDescent="0.2">
      <c r="A915" s="93">
        <v>3106</v>
      </c>
      <c r="B915" s="94" t="s">
        <v>848</v>
      </c>
      <c r="C915" s="95">
        <v>2015</v>
      </c>
      <c r="D915" s="96" t="s">
        <v>205</v>
      </c>
      <c r="E915" s="96" t="s">
        <v>849</v>
      </c>
      <c r="F915" s="101">
        <v>81.010000000000005</v>
      </c>
      <c r="G915" s="103">
        <f>Table336789101112131415[[#This Row],[Sched C/ County/ State]]+0.3</f>
        <v>81.31</v>
      </c>
      <c r="H915" s="106"/>
      <c r="I915" s="101">
        <v>75.81</v>
      </c>
      <c r="J915" s="99">
        <f>Table336789101112131415[[#This Row],[Sched C/ County/ State]]-Table336789101112131415[[#This Row],[2025 Rate]]</f>
        <v>5.2</v>
      </c>
    </row>
    <row r="916" spans="1:10" x14ac:dyDescent="0.2">
      <c r="A916" s="93">
        <v>3107</v>
      </c>
      <c r="B916" s="94" t="s">
        <v>832</v>
      </c>
      <c r="C916" s="95">
        <v>2018</v>
      </c>
      <c r="D916" s="96" t="s">
        <v>97</v>
      </c>
      <c r="E916" s="96" t="s">
        <v>833</v>
      </c>
      <c r="F916" s="101">
        <v>58.85</v>
      </c>
      <c r="G916" s="105"/>
      <c r="H916" s="106"/>
      <c r="I916" s="101">
        <v>54.64</v>
      </c>
      <c r="J916" s="99">
        <f>Table336789101112131415[[#This Row],[Sched C/ County/ State]]-Table336789101112131415[[#This Row],[2025 Rate]]</f>
        <v>4.21</v>
      </c>
    </row>
    <row r="917" spans="1:10" x14ac:dyDescent="0.2">
      <c r="A917" s="93">
        <v>3108</v>
      </c>
      <c r="B917" s="94" t="s">
        <v>845</v>
      </c>
      <c r="C917" s="95">
        <v>2019</v>
      </c>
      <c r="D917" s="96" t="s">
        <v>204</v>
      </c>
      <c r="E917" s="96" t="s">
        <v>850</v>
      </c>
      <c r="F917" s="101">
        <v>71.56</v>
      </c>
      <c r="G917" s="103">
        <f>Table336789101112131415[[#This Row],[Sched C/ County/ State]]+0.3</f>
        <v>71.86</v>
      </c>
      <c r="H917" s="106"/>
      <c r="I917" s="101">
        <v>66.97</v>
      </c>
      <c r="J917" s="99">
        <f>Table336789101112131415[[#This Row],[Sched C/ County/ State]]-Table336789101112131415[[#This Row],[2025 Rate]]</f>
        <v>4.59</v>
      </c>
    </row>
    <row r="918" spans="1:10" x14ac:dyDescent="0.2">
      <c r="A918" s="93">
        <v>3109</v>
      </c>
      <c r="B918" s="94" t="s">
        <v>851</v>
      </c>
      <c r="C918" s="95">
        <v>2019</v>
      </c>
      <c r="D918" s="96" t="s">
        <v>205</v>
      </c>
      <c r="E918" s="96" t="s">
        <v>852</v>
      </c>
      <c r="F918" s="101">
        <v>89.38</v>
      </c>
      <c r="G918" s="103">
        <f>Table336789101112131415[[#This Row],[Sched C/ County/ State]]+0.3</f>
        <v>89.68</v>
      </c>
      <c r="H918" s="106"/>
      <c r="I918" s="101">
        <v>83.64</v>
      </c>
      <c r="J918" s="99">
        <f>Table336789101112131415[[#This Row],[Sched C/ County/ State]]-Table336789101112131415[[#This Row],[2025 Rate]]</f>
        <v>5.74</v>
      </c>
    </row>
    <row r="919" spans="1:10" x14ac:dyDescent="0.2">
      <c r="A919" s="93">
        <v>3110</v>
      </c>
      <c r="B919" s="94" t="s">
        <v>851</v>
      </c>
      <c r="C919" s="95">
        <v>2019</v>
      </c>
      <c r="D919" s="96" t="s">
        <v>205</v>
      </c>
      <c r="E919" s="96" t="s">
        <v>853</v>
      </c>
      <c r="F919" s="101">
        <v>89.38</v>
      </c>
      <c r="G919" s="103">
        <f>Table336789101112131415[[#This Row],[Sched C/ County/ State]]+0.3</f>
        <v>89.68</v>
      </c>
      <c r="H919" s="106"/>
      <c r="I919" s="101">
        <v>83.64</v>
      </c>
      <c r="J919" s="99">
        <f>Table336789101112131415[[#This Row],[Sched C/ County/ State]]-Table336789101112131415[[#This Row],[2025 Rate]]</f>
        <v>5.74</v>
      </c>
    </row>
    <row r="920" spans="1:10" x14ac:dyDescent="0.2">
      <c r="A920" s="93">
        <v>3111</v>
      </c>
      <c r="B920" s="94" t="s">
        <v>851</v>
      </c>
      <c r="C920" s="95">
        <v>2022</v>
      </c>
      <c r="D920" s="96" t="s">
        <v>205</v>
      </c>
      <c r="E920" s="96" t="s">
        <v>853</v>
      </c>
      <c r="F920" s="101">
        <v>89.38</v>
      </c>
      <c r="G920" s="103">
        <f>Table336789101112131415[[#This Row],[Sched C/ County/ State]]+0.3</f>
        <v>89.68</v>
      </c>
      <c r="H920" s="106"/>
      <c r="I920" s="101">
        <v>83.64</v>
      </c>
      <c r="J920" s="99">
        <f>Table336789101112131415[[#This Row],[Sched C/ County/ State]]-Table336789101112131415[[#This Row],[2025 Rate]]</f>
        <v>5.74</v>
      </c>
    </row>
    <row r="921" spans="1:10" x14ac:dyDescent="0.2">
      <c r="A921" s="93">
        <v>3149</v>
      </c>
      <c r="B921" s="94" t="s">
        <v>854</v>
      </c>
      <c r="C921" s="95">
        <v>2024</v>
      </c>
      <c r="D921" s="96" t="s">
        <v>855</v>
      </c>
      <c r="E921" s="96" t="s">
        <v>856</v>
      </c>
      <c r="F921" s="101">
        <v>55.9</v>
      </c>
      <c r="G921" s="105"/>
      <c r="H921" s="106"/>
      <c r="I921" s="101">
        <v>51.9</v>
      </c>
      <c r="J921" s="99">
        <f>Table336789101112131415[[#This Row],[Sched C/ County/ State]]-Table336789101112131415[[#This Row],[2025 Rate]]</f>
        <v>4</v>
      </c>
    </row>
    <row r="922" spans="1:10" x14ac:dyDescent="0.2">
      <c r="A922" s="93">
        <v>3150</v>
      </c>
      <c r="B922" s="94" t="s">
        <v>91</v>
      </c>
      <c r="C922" s="95">
        <v>2018</v>
      </c>
      <c r="D922" s="96" t="s">
        <v>204</v>
      </c>
      <c r="E922" s="96" t="s">
        <v>857</v>
      </c>
      <c r="F922" s="101">
        <v>58.85</v>
      </c>
      <c r="G922" s="105"/>
      <c r="H922" s="106"/>
      <c r="I922" s="101">
        <v>54.64</v>
      </c>
      <c r="J922" s="99">
        <f>Table336789101112131415[[#This Row],[Sched C/ County/ State]]-Table336789101112131415[[#This Row],[2025 Rate]]</f>
        <v>4.21</v>
      </c>
    </row>
    <row r="923" spans="1:10" x14ac:dyDescent="0.2">
      <c r="A923" s="93">
        <v>3151</v>
      </c>
      <c r="B923" s="117" t="s">
        <v>858</v>
      </c>
      <c r="C923" s="95">
        <v>2019</v>
      </c>
      <c r="D923" s="96" t="s">
        <v>204</v>
      </c>
      <c r="E923" s="96" t="s">
        <v>857</v>
      </c>
      <c r="F923" s="101">
        <v>58.85</v>
      </c>
      <c r="G923" s="105"/>
      <c r="H923" s="106"/>
      <c r="I923" s="101">
        <v>54.64</v>
      </c>
      <c r="J923" s="99">
        <f>Table336789101112131415[[#This Row],[Sched C/ County/ State]]-Table336789101112131415[[#This Row],[2025 Rate]]</f>
        <v>4.21</v>
      </c>
    </row>
    <row r="924" spans="1:10" x14ac:dyDescent="0.2">
      <c r="A924" s="93">
        <v>3152</v>
      </c>
      <c r="B924" s="117" t="s">
        <v>858</v>
      </c>
      <c r="C924" s="95">
        <v>2021</v>
      </c>
      <c r="D924" s="96" t="s">
        <v>204</v>
      </c>
      <c r="E924" s="96" t="s">
        <v>859</v>
      </c>
      <c r="F924" s="101">
        <v>59.79</v>
      </c>
      <c r="G924" s="105"/>
      <c r="H924" s="106"/>
      <c r="I924" s="101">
        <v>55.95</v>
      </c>
      <c r="J924" s="99">
        <f>Table336789101112131415[[#This Row],[Sched C/ County/ State]]-Table336789101112131415[[#This Row],[2025 Rate]]</f>
        <v>3.84</v>
      </c>
    </row>
    <row r="925" spans="1:10" x14ac:dyDescent="0.2">
      <c r="A925" s="93">
        <v>3153</v>
      </c>
      <c r="B925" s="117" t="s">
        <v>860</v>
      </c>
      <c r="C925" s="95">
        <v>2021</v>
      </c>
      <c r="D925" s="96" t="s">
        <v>204</v>
      </c>
      <c r="E925" s="96" t="s">
        <v>859</v>
      </c>
      <c r="F925" s="101">
        <v>59.79</v>
      </c>
      <c r="G925" s="105"/>
      <c r="H925" s="106"/>
      <c r="I925" s="101">
        <v>55.95</v>
      </c>
      <c r="J925" s="99">
        <f>Table336789101112131415[[#This Row],[Sched C/ County/ State]]-Table336789101112131415[[#This Row],[2025 Rate]]</f>
        <v>3.84</v>
      </c>
    </row>
    <row r="926" spans="1:10" x14ac:dyDescent="0.2">
      <c r="A926" s="93">
        <v>3154</v>
      </c>
      <c r="B926" s="117" t="s">
        <v>858</v>
      </c>
      <c r="C926" s="95">
        <v>2023</v>
      </c>
      <c r="D926" s="96" t="s">
        <v>204</v>
      </c>
      <c r="E926" s="96" t="s">
        <v>859</v>
      </c>
      <c r="F926" s="101">
        <v>59.79</v>
      </c>
      <c r="G926" s="105"/>
      <c r="H926" s="106"/>
      <c r="I926" s="101">
        <v>55.95</v>
      </c>
      <c r="J926" s="99">
        <f>Table336789101112131415[[#This Row],[Sched C/ County/ State]]-Table336789101112131415[[#This Row],[2025 Rate]]</f>
        <v>3.84</v>
      </c>
    </row>
    <row r="927" spans="1:10" x14ac:dyDescent="0.2">
      <c r="A927" s="93">
        <v>3155</v>
      </c>
      <c r="B927" s="117" t="s">
        <v>858</v>
      </c>
      <c r="C927" s="95">
        <v>2023</v>
      </c>
      <c r="D927" s="96" t="s">
        <v>204</v>
      </c>
      <c r="E927" s="96" t="s">
        <v>859</v>
      </c>
      <c r="F927" s="101">
        <v>59.79</v>
      </c>
      <c r="G927" s="105"/>
      <c r="H927" s="106"/>
      <c r="I927" s="101">
        <v>55.95</v>
      </c>
      <c r="J927" s="99">
        <f>Table336789101112131415[[#This Row],[Sched C/ County/ State]]-Table336789101112131415[[#This Row],[2025 Rate]]</f>
        <v>3.84</v>
      </c>
    </row>
    <row r="928" spans="1:10" x14ac:dyDescent="0.2">
      <c r="A928" s="93">
        <v>3156</v>
      </c>
      <c r="B928" s="117" t="s">
        <v>860</v>
      </c>
      <c r="C928" s="95">
        <v>2023</v>
      </c>
      <c r="D928" s="96" t="s">
        <v>204</v>
      </c>
      <c r="E928" s="96" t="s">
        <v>859</v>
      </c>
      <c r="F928" s="101">
        <v>59.79</v>
      </c>
      <c r="G928" s="105"/>
      <c r="H928" s="106"/>
      <c r="I928" s="101">
        <v>55.95</v>
      </c>
      <c r="J928" s="99">
        <f>Table336789101112131415[[#This Row],[Sched C/ County/ State]]-Table336789101112131415[[#This Row],[2025 Rate]]</f>
        <v>3.84</v>
      </c>
    </row>
    <row r="929" spans="1:10" x14ac:dyDescent="0.2">
      <c r="A929" s="93">
        <v>3157</v>
      </c>
      <c r="B929" s="94" t="s">
        <v>858</v>
      </c>
      <c r="C929" s="95">
        <v>2019</v>
      </c>
      <c r="D929" s="96" t="s">
        <v>204</v>
      </c>
      <c r="E929" s="96" t="s">
        <v>857</v>
      </c>
      <c r="F929" s="101">
        <v>58.85</v>
      </c>
      <c r="G929" s="105"/>
      <c r="H929" s="106"/>
      <c r="I929" s="101">
        <v>54.64</v>
      </c>
      <c r="J929" s="99">
        <f>Table336789101112131415[[#This Row],[Sched C/ County/ State]]-Table336789101112131415[[#This Row],[2025 Rate]]</f>
        <v>4.21</v>
      </c>
    </row>
    <row r="930" spans="1:10" x14ac:dyDescent="0.2">
      <c r="A930" s="93">
        <v>3158</v>
      </c>
      <c r="B930" s="94" t="s">
        <v>860</v>
      </c>
      <c r="C930" s="95">
        <v>2019</v>
      </c>
      <c r="D930" s="96" t="s">
        <v>204</v>
      </c>
      <c r="E930" s="96" t="s">
        <v>861</v>
      </c>
      <c r="F930" s="101">
        <v>58.85</v>
      </c>
      <c r="G930" s="105"/>
      <c r="H930" s="106"/>
      <c r="I930" s="101">
        <v>54.64</v>
      </c>
      <c r="J930" s="99">
        <f>Table336789101112131415[[#This Row],[Sched C/ County/ State]]-Table336789101112131415[[#This Row],[2025 Rate]]</f>
        <v>4.21</v>
      </c>
    </row>
    <row r="931" spans="1:10" x14ac:dyDescent="0.2">
      <c r="A931" s="93">
        <v>3159</v>
      </c>
      <c r="B931" s="94" t="s">
        <v>860</v>
      </c>
      <c r="C931" s="95">
        <v>2019</v>
      </c>
      <c r="D931" s="96" t="s">
        <v>204</v>
      </c>
      <c r="E931" s="96" t="s">
        <v>861</v>
      </c>
      <c r="F931" s="101">
        <v>58.85</v>
      </c>
      <c r="G931" s="105"/>
      <c r="H931" s="106"/>
      <c r="I931" s="101">
        <v>54.64</v>
      </c>
      <c r="J931" s="99">
        <f>Table336789101112131415[[#This Row],[Sched C/ County/ State]]-Table336789101112131415[[#This Row],[2025 Rate]]</f>
        <v>4.21</v>
      </c>
    </row>
    <row r="932" spans="1:10" x14ac:dyDescent="0.2">
      <c r="A932" s="93">
        <v>3199</v>
      </c>
      <c r="B932" s="94" t="s">
        <v>562</v>
      </c>
      <c r="C932" s="95">
        <v>2016</v>
      </c>
      <c r="D932" s="96" t="s">
        <v>810</v>
      </c>
      <c r="F932" s="101">
        <v>8.9499999999999993</v>
      </c>
      <c r="G932" s="105"/>
      <c r="H932" s="106"/>
      <c r="I932" s="101">
        <v>8.3800000000000008</v>
      </c>
      <c r="J932" s="99">
        <f>Table336789101112131415[[#This Row],[Sched C/ County/ State]]-Table336789101112131415[[#This Row],[2025 Rate]]</f>
        <v>0.56999999999999995</v>
      </c>
    </row>
    <row r="933" spans="1:10" x14ac:dyDescent="0.2">
      <c r="A933" s="93">
        <v>3207</v>
      </c>
      <c r="B933" s="94" t="s">
        <v>862</v>
      </c>
      <c r="C933" s="95">
        <v>2018</v>
      </c>
      <c r="D933" s="96" t="s">
        <v>97</v>
      </c>
      <c r="E933" s="96">
        <v>673142</v>
      </c>
      <c r="F933" s="101">
        <v>8.9499999999999993</v>
      </c>
      <c r="G933" s="103"/>
      <c r="H933" s="104"/>
      <c r="I933" s="101">
        <v>8.3800000000000008</v>
      </c>
      <c r="J933" s="99">
        <f>Table336789101112131415[[#This Row],[Sched C/ County/ State]]-Table336789101112131415[[#This Row],[2025 Rate]]</f>
        <v>0.56999999999999995</v>
      </c>
    </row>
    <row r="934" spans="1:10" x14ac:dyDescent="0.2">
      <c r="A934" s="93">
        <v>3242</v>
      </c>
      <c r="B934" s="96" t="s">
        <v>863</v>
      </c>
      <c r="C934" s="95">
        <v>2001</v>
      </c>
      <c r="D934" s="96" t="s">
        <v>170</v>
      </c>
      <c r="E934" s="96" t="s">
        <v>864</v>
      </c>
      <c r="F934" s="101">
        <v>11.01</v>
      </c>
      <c r="G934" s="103"/>
      <c r="H934" s="104"/>
      <c r="I934" s="101">
        <v>10.3</v>
      </c>
      <c r="J934" s="99">
        <f>Table336789101112131415[[#This Row],[Sched C/ County/ State]]-Table336789101112131415[[#This Row],[2025 Rate]]</f>
        <v>0.71</v>
      </c>
    </row>
    <row r="935" spans="1:10" x14ac:dyDescent="0.2">
      <c r="A935" s="93">
        <v>3243</v>
      </c>
      <c r="B935" s="96" t="s">
        <v>863</v>
      </c>
      <c r="C935" s="95">
        <v>2001</v>
      </c>
      <c r="D935" s="96" t="s">
        <v>170</v>
      </c>
      <c r="E935" s="96" t="s">
        <v>865</v>
      </c>
      <c r="F935" s="101">
        <v>11.01</v>
      </c>
      <c r="G935" s="103"/>
      <c r="H935" s="104"/>
      <c r="I935" s="101">
        <v>10.3</v>
      </c>
      <c r="J935" s="99">
        <f>Table336789101112131415[[#This Row],[Sched C/ County/ State]]-Table336789101112131415[[#This Row],[2025 Rate]]</f>
        <v>0.71</v>
      </c>
    </row>
    <row r="936" spans="1:10" x14ac:dyDescent="0.2">
      <c r="A936" s="93">
        <v>3245</v>
      </c>
      <c r="B936" s="96" t="s">
        <v>863</v>
      </c>
      <c r="C936" s="95">
        <v>2004</v>
      </c>
      <c r="D936" s="96" t="s">
        <v>170</v>
      </c>
      <c r="E936" s="96" t="s">
        <v>866</v>
      </c>
      <c r="F936" s="101">
        <v>11.01</v>
      </c>
      <c r="G936" s="103"/>
      <c r="H936" s="104"/>
      <c r="I936" s="101">
        <v>10.3</v>
      </c>
      <c r="J936" s="99">
        <f>Table336789101112131415[[#This Row],[Sched C/ County/ State]]-Table336789101112131415[[#This Row],[2025 Rate]]</f>
        <v>0.71</v>
      </c>
    </row>
    <row r="937" spans="1:10" x14ac:dyDescent="0.2">
      <c r="A937" s="93">
        <v>3246</v>
      </c>
      <c r="B937" s="96" t="s">
        <v>863</v>
      </c>
      <c r="C937" s="95">
        <v>2004</v>
      </c>
      <c r="D937" s="96" t="s">
        <v>170</v>
      </c>
      <c r="E937" s="96" t="s">
        <v>866</v>
      </c>
      <c r="F937" s="101">
        <v>11.01</v>
      </c>
      <c r="G937" s="103"/>
      <c r="H937" s="104"/>
      <c r="I937" s="101">
        <v>10.3</v>
      </c>
      <c r="J937" s="99">
        <f>Table336789101112131415[[#This Row],[Sched C/ County/ State]]-Table336789101112131415[[#This Row],[2025 Rate]]</f>
        <v>0.71</v>
      </c>
    </row>
    <row r="938" spans="1:10" x14ac:dyDescent="0.2">
      <c r="A938" s="93">
        <v>3249</v>
      </c>
      <c r="B938" s="96" t="s">
        <v>863</v>
      </c>
      <c r="C938" s="95">
        <v>2004</v>
      </c>
      <c r="D938" s="96" t="s">
        <v>170</v>
      </c>
      <c r="E938" s="96" t="s">
        <v>866</v>
      </c>
      <c r="F938" s="101">
        <v>11.01</v>
      </c>
      <c r="G938" s="103"/>
      <c r="H938" s="104"/>
      <c r="I938" s="101">
        <v>10.3</v>
      </c>
      <c r="J938" s="99">
        <f>Table336789101112131415[[#This Row],[Sched C/ County/ State]]-Table336789101112131415[[#This Row],[2025 Rate]]</f>
        <v>0.71</v>
      </c>
    </row>
    <row r="939" spans="1:10" x14ac:dyDescent="0.2">
      <c r="A939" s="93">
        <v>3252</v>
      </c>
      <c r="B939" s="96" t="s">
        <v>863</v>
      </c>
      <c r="C939" s="95">
        <v>2005</v>
      </c>
      <c r="D939" s="96" t="s">
        <v>170</v>
      </c>
      <c r="F939" s="101">
        <v>11.01</v>
      </c>
      <c r="G939" s="103"/>
      <c r="H939" s="104"/>
      <c r="I939" s="101">
        <v>10.3</v>
      </c>
      <c r="J939" s="99">
        <f>Table336789101112131415[[#This Row],[Sched C/ County/ State]]-Table336789101112131415[[#This Row],[2025 Rate]]</f>
        <v>0.71</v>
      </c>
    </row>
    <row r="940" spans="1:10" ht="30" x14ac:dyDescent="0.2">
      <c r="A940" s="93">
        <v>3301</v>
      </c>
      <c r="B940" s="94" t="s">
        <v>867</v>
      </c>
      <c r="C940" s="95">
        <v>2020</v>
      </c>
      <c r="D940" s="96" t="s">
        <v>533</v>
      </c>
      <c r="E940" s="96" t="s">
        <v>868</v>
      </c>
      <c r="F940" s="101">
        <v>6.98</v>
      </c>
      <c r="G940" s="103"/>
      <c r="H940" s="104"/>
      <c r="I940" s="101">
        <v>6.48</v>
      </c>
      <c r="J940" s="99">
        <f>Table336789101112131415[[#This Row],[Sched C/ County/ State]]-Table336789101112131415[[#This Row],[2025 Rate]]</f>
        <v>0.5</v>
      </c>
    </row>
    <row r="941" spans="1:10" ht="30" x14ac:dyDescent="0.2">
      <c r="A941" s="93">
        <v>3302</v>
      </c>
      <c r="B941" s="94" t="s">
        <v>867</v>
      </c>
      <c r="C941" s="95">
        <v>2020</v>
      </c>
      <c r="D941" s="96" t="s">
        <v>533</v>
      </c>
      <c r="E941" s="96" t="s">
        <v>868</v>
      </c>
      <c r="F941" s="101">
        <v>6.98</v>
      </c>
      <c r="G941" s="103"/>
      <c r="H941" s="104"/>
      <c r="I941" s="101">
        <v>6.48</v>
      </c>
      <c r="J941" s="99">
        <f>Table336789101112131415[[#This Row],[Sched C/ County/ State]]-Table336789101112131415[[#This Row],[2025 Rate]]</f>
        <v>0.5</v>
      </c>
    </row>
    <row r="942" spans="1:10" ht="30" x14ac:dyDescent="0.2">
      <c r="A942" s="93">
        <v>3303</v>
      </c>
      <c r="B942" s="94" t="s">
        <v>867</v>
      </c>
      <c r="C942" s="95">
        <v>2021</v>
      </c>
      <c r="D942" s="96" t="s">
        <v>533</v>
      </c>
      <c r="E942" s="96" t="s">
        <v>869</v>
      </c>
      <c r="F942" s="101">
        <v>16.829999999999998</v>
      </c>
      <c r="G942" s="103"/>
      <c r="H942" s="104"/>
      <c r="I942" s="101">
        <v>15.75</v>
      </c>
      <c r="J942" s="99">
        <f>Table336789101112131415[[#This Row],[Sched C/ County/ State]]-Table336789101112131415[[#This Row],[2025 Rate]]</f>
        <v>1.08</v>
      </c>
    </row>
    <row r="943" spans="1:10" ht="30" x14ac:dyDescent="0.2">
      <c r="A943" s="93">
        <v>3304</v>
      </c>
      <c r="B943" s="94" t="s">
        <v>867</v>
      </c>
      <c r="C943" s="95">
        <v>2024</v>
      </c>
      <c r="D943" s="96" t="s">
        <v>533</v>
      </c>
      <c r="E943" s="96" t="s">
        <v>870</v>
      </c>
      <c r="F943" s="101">
        <v>6.98</v>
      </c>
      <c r="G943" s="105"/>
      <c r="H943" s="104"/>
      <c r="I943" s="101"/>
      <c r="J943" s="99">
        <f>Table336789101112131415[[#This Row],[Sched C/ County/ State]]-Table336789101112131415[[#This Row],[2025 Rate]]</f>
        <v>6.98</v>
      </c>
    </row>
    <row r="944" spans="1:10" x14ac:dyDescent="0.2">
      <c r="A944" s="93">
        <v>3306</v>
      </c>
      <c r="B944" s="94" t="s">
        <v>871</v>
      </c>
      <c r="C944" s="95">
        <v>2020</v>
      </c>
      <c r="D944" s="96" t="s">
        <v>871</v>
      </c>
      <c r="E944" s="96">
        <v>300</v>
      </c>
      <c r="F944" s="101">
        <v>21.74</v>
      </c>
      <c r="G944" s="103"/>
      <c r="H944" s="104"/>
      <c r="I944" s="101">
        <v>20.34</v>
      </c>
      <c r="J944" s="99">
        <f>Table336789101112131415[[#This Row],[Sched C/ County/ State]]-Table336789101112131415[[#This Row],[2025 Rate]]</f>
        <v>1.4</v>
      </c>
    </row>
    <row r="945" spans="1:10" x14ac:dyDescent="0.2">
      <c r="A945" s="93">
        <v>3307</v>
      </c>
      <c r="B945" s="94" t="s">
        <v>634</v>
      </c>
      <c r="C945" s="95">
        <v>2018</v>
      </c>
      <c r="D945" s="96" t="s">
        <v>97</v>
      </c>
      <c r="F945" s="101">
        <v>30.7</v>
      </c>
      <c r="G945" s="103"/>
      <c r="H945" s="104"/>
      <c r="I945" s="101">
        <v>27.28</v>
      </c>
      <c r="J945" s="99">
        <f>Table336789101112131415[[#This Row],[Sched C/ County/ State]]-Table336789101112131415[[#This Row],[2025 Rate]]</f>
        <v>3.42</v>
      </c>
    </row>
    <row r="946" spans="1:10" x14ac:dyDescent="0.2">
      <c r="A946" s="93">
        <v>3308</v>
      </c>
      <c r="B946" s="94" t="s">
        <v>872</v>
      </c>
      <c r="C946" s="95">
        <v>2019</v>
      </c>
      <c r="D946" s="96" t="s">
        <v>204</v>
      </c>
      <c r="E946" s="96" t="s">
        <v>873</v>
      </c>
      <c r="F946" s="101">
        <v>11.55</v>
      </c>
      <c r="G946" s="103"/>
      <c r="H946" s="104"/>
      <c r="I946" s="101">
        <v>10.81</v>
      </c>
      <c r="J946" s="99">
        <f>Table336789101112131415[[#This Row],[Sched C/ County/ State]]-Table336789101112131415[[#This Row],[2025 Rate]]</f>
        <v>0.74</v>
      </c>
    </row>
    <row r="947" spans="1:10" ht="30" x14ac:dyDescent="0.2">
      <c r="A947" s="93">
        <v>3309</v>
      </c>
      <c r="B947" s="94" t="s">
        <v>874</v>
      </c>
      <c r="C947" s="95">
        <v>2019</v>
      </c>
      <c r="D947" s="96" t="s">
        <v>875</v>
      </c>
      <c r="E947" s="96" t="s">
        <v>876</v>
      </c>
      <c r="F947" s="101">
        <v>30.7</v>
      </c>
      <c r="G947" s="103"/>
      <c r="H947" s="104"/>
      <c r="I947" s="101">
        <v>27.28</v>
      </c>
      <c r="J947" s="99">
        <f>Table336789101112131415[[#This Row],[Sched C/ County/ State]]-Table336789101112131415[[#This Row],[2025 Rate]]</f>
        <v>3.42</v>
      </c>
    </row>
    <row r="948" spans="1:10" x14ac:dyDescent="0.2">
      <c r="A948" s="93">
        <v>3310</v>
      </c>
      <c r="B948" s="94" t="s">
        <v>877</v>
      </c>
      <c r="C948" s="95">
        <v>2019</v>
      </c>
      <c r="D948" s="96" t="s">
        <v>205</v>
      </c>
      <c r="F948" s="101">
        <v>13.34</v>
      </c>
      <c r="G948" s="103"/>
      <c r="H948" s="104"/>
      <c r="I948" s="101">
        <v>12.48</v>
      </c>
      <c r="J948" s="99">
        <f>Table336789101112131415[[#This Row],[Sched C/ County/ State]]-Table336789101112131415[[#This Row],[2025 Rate]]</f>
        <v>0.86</v>
      </c>
    </row>
    <row r="949" spans="1:10" x14ac:dyDescent="0.2">
      <c r="A949" s="93">
        <v>3312</v>
      </c>
      <c r="B949" s="94" t="s">
        <v>878</v>
      </c>
      <c r="C949" s="95">
        <v>2019</v>
      </c>
      <c r="F949" s="101">
        <v>14.65</v>
      </c>
      <c r="G949" s="103"/>
      <c r="H949" s="104"/>
      <c r="I949" s="101">
        <v>13.71</v>
      </c>
      <c r="J949" s="99">
        <f>Table336789101112131415[[#This Row],[Sched C/ County/ State]]-Table336789101112131415[[#This Row],[2025 Rate]]</f>
        <v>0.94</v>
      </c>
    </row>
    <row r="950" spans="1:10" x14ac:dyDescent="0.2">
      <c r="A950" s="93">
        <v>3362</v>
      </c>
      <c r="B950" s="96" t="s">
        <v>863</v>
      </c>
      <c r="C950" s="95">
        <v>2001</v>
      </c>
      <c r="D950" s="96" t="s">
        <v>879</v>
      </c>
      <c r="E950" s="96" t="s">
        <v>880</v>
      </c>
      <c r="F950" s="101">
        <v>11.01</v>
      </c>
      <c r="G950" s="103"/>
      <c r="H950" s="104"/>
      <c r="I950" s="101">
        <v>10.3</v>
      </c>
      <c r="J950" s="99">
        <f>Table336789101112131415[[#This Row],[Sched C/ County/ State]]-Table336789101112131415[[#This Row],[2025 Rate]]</f>
        <v>0.71</v>
      </c>
    </row>
    <row r="951" spans="1:10" x14ac:dyDescent="0.2">
      <c r="A951" s="93">
        <v>3383</v>
      </c>
      <c r="B951" s="96" t="s">
        <v>881</v>
      </c>
      <c r="C951" s="95">
        <v>2000</v>
      </c>
      <c r="D951" s="96" t="s">
        <v>882</v>
      </c>
      <c r="E951" s="96" t="s">
        <v>883</v>
      </c>
      <c r="F951" s="101">
        <v>11.01</v>
      </c>
      <c r="G951" s="103"/>
      <c r="H951" s="104"/>
      <c r="I951" s="101">
        <v>10.3</v>
      </c>
      <c r="J951" s="99">
        <f>Table336789101112131415[[#This Row],[Sched C/ County/ State]]-Table336789101112131415[[#This Row],[2025 Rate]]</f>
        <v>0.71</v>
      </c>
    </row>
    <row r="952" spans="1:10" x14ac:dyDescent="0.2">
      <c r="A952" s="93">
        <v>3384</v>
      </c>
      <c r="B952" s="96" t="s">
        <v>881</v>
      </c>
      <c r="C952" s="95">
        <v>2001</v>
      </c>
      <c r="D952" s="96" t="s">
        <v>170</v>
      </c>
      <c r="E952" s="96" t="s">
        <v>884</v>
      </c>
      <c r="F952" s="101">
        <v>11.01</v>
      </c>
      <c r="G952" s="103"/>
      <c r="H952" s="104"/>
      <c r="I952" s="101">
        <v>10.3</v>
      </c>
      <c r="J952" s="99">
        <f>Table336789101112131415[[#This Row],[Sched C/ County/ State]]-Table336789101112131415[[#This Row],[2025 Rate]]</f>
        <v>0.71</v>
      </c>
    </row>
    <row r="953" spans="1:10" x14ac:dyDescent="0.2">
      <c r="A953" s="93">
        <v>3385</v>
      </c>
      <c r="B953" s="96" t="s">
        <v>863</v>
      </c>
      <c r="C953" s="95">
        <v>2002</v>
      </c>
      <c r="D953" s="96" t="s">
        <v>170</v>
      </c>
      <c r="E953" s="96" t="s">
        <v>864</v>
      </c>
      <c r="F953" s="101">
        <v>11.01</v>
      </c>
      <c r="G953" s="103"/>
      <c r="H953" s="104"/>
      <c r="I953" s="101">
        <v>10.3</v>
      </c>
      <c r="J953" s="99">
        <f>Table336789101112131415[[#This Row],[Sched C/ County/ State]]-Table336789101112131415[[#This Row],[2025 Rate]]</f>
        <v>0.71</v>
      </c>
    </row>
    <row r="954" spans="1:10" x14ac:dyDescent="0.2">
      <c r="A954" s="93">
        <v>3386</v>
      </c>
      <c r="B954" s="96" t="s">
        <v>863</v>
      </c>
      <c r="C954" s="95">
        <v>2002</v>
      </c>
      <c r="D954" s="96" t="s">
        <v>170</v>
      </c>
      <c r="E954" s="96" t="s">
        <v>885</v>
      </c>
      <c r="F954" s="101">
        <v>11.01</v>
      </c>
      <c r="G954" s="103"/>
      <c r="H954" s="104"/>
      <c r="I954" s="101">
        <v>10.3</v>
      </c>
      <c r="J954" s="99">
        <f>Table336789101112131415[[#This Row],[Sched C/ County/ State]]-Table336789101112131415[[#This Row],[2025 Rate]]</f>
        <v>0.71</v>
      </c>
    </row>
    <row r="955" spans="1:10" x14ac:dyDescent="0.2">
      <c r="A955" s="93">
        <v>3388</v>
      </c>
      <c r="B955" s="96" t="s">
        <v>881</v>
      </c>
      <c r="C955" s="95">
        <v>2001</v>
      </c>
      <c r="D955" s="96" t="s">
        <v>170</v>
      </c>
      <c r="E955" s="96" t="s">
        <v>864</v>
      </c>
      <c r="F955" s="101">
        <v>11.01</v>
      </c>
      <c r="G955" s="103"/>
      <c r="H955" s="104"/>
      <c r="I955" s="101">
        <v>10.3</v>
      </c>
      <c r="J955" s="99">
        <f>Table336789101112131415[[#This Row],[Sched C/ County/ State]]-Table336789101112131415[[#This Row],[2025 Rate]]</f>
        <v>0.71</v>
      </c>
    </row>
    <row r="956" spans="1:10" x14ac:dyDescent="0.2">
      <c r="A956" s="93">
        <v>3389</v>
      </c>
      <c r="B956" s="96" t="s">
        <v>881</v>
      </c>
      <c r="C956" s="95">
        <v>2001</v>
      </c>
      <c r="D956" s="96" t="s">
        <v>170</v>
      </c>
      <c r="E956" s="96" t="s">
        <v>864</v>
      </c>
      <c r="F956" s="101">
        <v>11.01</v>
      </c>
      <c r="G956" s="103"/>
      <c r="H956" s="104"/>
      <c r="I956" s="101">
        <v>10.3</v>
      </c>
      <c r="J956" s="99">
        <f>Table336789101112131415[[#This Row],[Sched C/ County/ State]]-Table336789101112131415[[#This Row],[2025 Rate]]</f>
        <v>0.71</v>
      </c>
    </row>
    <row r="957" spans="1:10" x14ac:dyDescent="0.2">
      <c r="A957" s="93">
        <v>3390</v>
      </c>
      <c r="B957" s="96" t="s">
        <v>881</v>
      </c>
      <c r="C957" s="95">
        <v>2001</v>
      </c>
      <c r="D957" s="96" t="s">
        <v>170</v>
      </c>
      <c r="E957" s="96" t="s">
        <v>864</v>
      </c>
      <c r="F957" s="101">
        <v>11.01</v>
      </c>
      <c r="G957" s="103"/>
      <c r="H957" s="104"/>
      <c r="I957" s="101">
        <v>10.3</v>
      </c>
      <c r="J957" s="99">
        <f>Table336789101112131415[[#This Row],[Sched C/ County/ State]]-Table336789101112131415[[#This Row],[2025 Rate]]</f>
        <v>0.71</v>
      </c>
    </row>
    <row r="958" spans="1:10" x14ac:dyDescent="0.2">
      <c r="A958" s="93">
        <v>3392</v>
      </c>
      <c r="B958" s="96" t="s">
        <v>863</v>
      </c>
      <c r="C958" s="95">
        <v>2001</v>
      </c>
      <c r="D958" s="96" t="s">
        <v>170</v>
      </c>
      <c r="E958" s="96" t="s">
        <v>864</v>
      </c>
      <c r="F958" s="101">
        <v>11.01</v>
      </c>
      <c r="G958" s="103"/>
      <c r="H958" s="104"/>
      <c r="I958" s="101">
        <v>10.3</v>
      </c>
      <c r="J958" s="99">
        <f>Table336789101112131415[[#This Row],[Sched C/ County/ State]]-Table336789101112131415[[#This Row],[2025 Rate]]</f>
        <v>0.71</v>
      </c>
    </row>
    <row r="959" spans="1:10" x14ac:dyDescent="0.2">
      <c r="A959" s="93">
        <v>3393</v>
      </c>
      <c r="B959" s="96" t="s">
        <v>863</v>
      </c>
      <c r="C959" s="95">
        <v>2001</v>
      </c>
      <c r="D959" s="96" t="s">
        <v>170</v>
      </c>
      <c r="E959" s="96" t="s">
        <v>864</v>
      </c>
      <c r="F959" s="101">
        <v>11.01</v>
      </c>
      <c r="G959" s="103"/>
      <c r="H959" s="104"/>
      <c r="I959" s="101">
        <v>10.3</v>
      </c>
      <c r="J959" s="99">
        <f>Table336789101112131415[[#This Row],[Sched C/ County/ State]]-Table336789101112131415[[#This Row],[2025 Rate]]</f>
        <v>0.71</v>
      </c>
    </row>
    <row r="960" spans="1:10" x14ac:dyDescent="0.2">
      <c r="A960" s="93">
        <v>3394</v>
      </c>
      <c r="B960" s="96" t="s">
        <v>863</v>
      </c>
      <c r="C960" s="95">
        <v>2001</v>
      </c>
      <c r="D960" s="96" t="s">
        <v>170</v>
      </c>
      <c r="E960" s="96" t="s">
        <v>864</v>
      </c>
      <c r="F960" s="101">
        <v>11.01</v>
      </c>
      <c r="G960" s="103"/>
      <c r="H960" s="104"/>
      <c r="I960" s="101">
        <v>10.3</v>
      </c>
      <c r="J960" s="99">
        <f>Table336789101112131415[[#This Row],[Sched C/ County/ State]]-Table336789101112131415[[#This Row],[2025 Rate]]</f>
        <v>0.71</v>
      </c>
    </row>
    <row r="961" spans="1:10" x14ac:dyDescent="0.2">
      <c r="A961" s="93">
        <v>3396</v>
      </c>
      <c r="B961" s="96" t="s">
        <v>863</v>
      </c>
      <c r="C961" s="95">
        <v>2001</v>
      </c>
      <c r="D961" s="96" t="s">
        <v>170</v>
      </c>
      <c r="E961" s="96" t="s">
        <v>864</v>
      </c>
      <c r="F961" s="101">
        <v>11.01</v>
      </c>
      <c r="G961" s="103"/>
      <c r="H961" s="104"/>
      <c r="I961" s="101">
        <v>10.3</v>
      </c>
      <c r="J961" s="99">
        <f>Table336789101112131415[[#This Row],[Sched C/ County/ State]]-Table336789101112131415[[#This Row],[2025 Rate]]</f>
        <v>0.71</v>
      </c>
    </row>
    <row r="962" spans="1:10" x14ac:dyDescent="0.2">
      <c r="A962" s="93">
        <v>3398</v>
      </c>
      <c r="B962" s="96" t="s">
        <v>863</v>
      </c>
      <c r="C962" s="95">
        <v>2002</v>
      </c>
      <c r="D962" s="96" t="s">
        <v>170</v>
      </c>
      <c r="E962" s="96" t="s">
        <v>885</v>
      </c>
      <c r="F962" s="101">
        <v>11.01</v>
      </c>
      <c r="G962" s="103"/>
      <c r="H962" s="104"/>
      <c r="I962" s="101">
        <v>10.3</v>
      </c>
      <c r="J962" s="99">
        <f>Table336789101112131415[[#This Row],[Sched C/ County/ State]]-Table336789101112131415[[#This Row],[2025 Rate]]</f>
        <v>0.71</v>
      </c>
    </row>
    <row r="963" spans="1:10" x14ac:dyDescent="0.2">
      <c r="A963" s="93">
        <v>3399</v>
      </c>
      <c r="B963" s="96" t="s">
        <v>863</v>
      </c>
      <c r="C963" s="95">
        <v>2002</v>
      </c>
      <c r="D963" s="96" t="s">
        <v>170</v>
      </c>
      <c r="E963" s="96" t="s">
        <v>864</v>
      </c>
      <c r="F963" s="101">
        <v>11.01</v>
      </c>
      <c r="G963" s="103"/>
      <c r="H963" s="104"/>
      <c r="I963" s="101">
        <v>10.3</v>
      </c>
      <c r="J963" s="99">
        <f>Table336789101112131415[[#This Row],[Sched C/ County/ State]]-Table336789101112131415[[#This Row],[2025 Rate]]</f>
        <v>0.71</v>
      </c>
    </row>
    <row r="964" spans="1:10" x14ac:dyDescent="0.2">
      <c r="A964" s="93">
        <v>3400</v>
      </c>
      <c r="B964" s="96" t="s">
        <v>886</v>
      </c>
      <c r="C964" s="95">
        <v>2014</v>
      </c>
      <c r="D964" s="96" t="s">
        <v>887</v>
      </c>
      <c r="F964" s="101">
        <v>9.69</v>
      </c>
      <c r="G964" s="103"/>
      <c r="H964" s="104"/>
      <c r="I964" s="101">
        <v>9.07</v>
      </c>
      <c r="J964" s="99">
        <f>Table336789101112131415[[#This Row],[Sched C/ County/ State]]-Table336789101112131415[[#This Row],[2025 Rate]]</f>
        <v>0.62</v>
      </c>
    </row>
    <row r="965" spans="1:10" x14ac:dyDescent="0.2">
      <c r="A965" s="93">
        <v>3401</v>
      </c>
      <c r="B965" s="96" t="s">
        <v>886</v>
      </c>
      <c r="C965" s="95">
        <v>2015</v>
      </c>
      <c r="D965" s="96" t="s">
        <v>887</v>
      </c>
      <c r="F965" s="101">
        <v>9.69</v>
      </c>
      <c r="G965" s="103"/>
      <c r="H965" s="104"/>
      <c r="I965" s="101">
        <v>9.07</v>
      </c>
      <c r="J965" s="99">
        <f>Table336789101112131415[[#This Row],[Sched C/ County/ State]]-Table336789101112131415[[#This Row],[2025 Rate]]</f>
        <v>0.62</v>
      </c>
    </row>
    <row r="966" spans="1:10" ht="30" x14ac:dyDescent="0.2">
      <c r="A966" s="93">
        <v>3407</v>
      </c>
      <c r="B966" s="94" t="s">
        <v>888</v>
      </c>
      <c r="C966" s="95">
        <v>2019</v>
      </c>
      <c r="D966" s="96" t="s">
        <v>810</v>
      </c>
      <c r="F966" s="101">
        <v>6.86</v>
      </c>
      <c r="G966" s="103"/>
      <c r="H966" s="104"/>
      <c r="I966" s="101">
        <v>6.42</v>
      </c>
      <c r="J966" s="99">
        <f>Table336789101112131415[[#This Row],[Sched C/ County/ State]]-Table336789101112131415[[#This Row],[2025 Rate]]</f>
        <v>0.44</v>
      </c>
    </row>
    <row r="967" spans="1:10" ht="30" x14ac:dyDescent="0.2">
      <c r="A967" s="93">
        <v>3408</v>
      </c>
      <c r="B967" s="94" t="s">
        <v>889</v>
      </c>
      <c r="C967" s="95">
        <v>2019</v>
      </c>
      <c r="D967" s="96" t="s">
        <v>204</v>
      </c>
      <c r="E967" s="96" t="s">
        <v>890</v>
      </c>
      <c r="F967" s="101">
        <v>7.9</v>
      </c>
      <c r="G967" s="103"/>
      <c r="H967" s="104"/>
      <c r="I967" s="101">
        <v>7.39</v>
      </c>
      <c r="J967" s="99">
        <f>Table336789101112131415[[#This Row],[Sched C/ County/ State]]-Table336789101112131415[[#This Row],[2025 Rate]]</f>
        <v>0.51</v>
      </c>
    </row>
    <row r="968" spans="1:10" x14ac:dyDescent="0.2">
      <c r="A968" s="93">
        <v>3410</v>
      </c>
      <c r="B968" s="94" t="s">
        <v>889</v>
      </c>
      <c r="C968" s="95">
        <v>2019</v>
      </c>
      <c r="D968" s="96" t="s">
        <v>205</v>
      </c>
      <c r="E968" s="96" t="s">
        <v>891</v>
      </c>
      <c r="F968" s="101">
        <v>7.9</v>
      </c>
      <c r="G968" s="103"/>
      <c r="H968" s="104"/>
      <c r="I968" s="101">
        <v>7.39</v>
      </c>
      <c r="J968" s="99">
        <f>Table336789101112131415[[#This Row],[Sched C/ County/ State]]-Table336789101112131415[[#This Row],[2025 Rate]]</f>
        <v>0.51</v>
      </c>
    </row>
    <row r="969" spans="1:10" ht="30" x14ac:dyDescent="0.2">
      <c r="A969" s="93">
        <v>3427</v>
      </c>
      <c r="B969" s="96" t="s">
        <v>892</v>
      </c>
      <c r="C969" s="95">
        <v>1996</v>
      </c>
      <c r="D969" s="96" t="s">
        <v>893</v>
      </c>
      <c r="E969" s="96" t="s">
        <v>894</v>
      </c>
      <c r="F969" s="101">
        <v>9.69</v>
      </c>
      <c r="G969" s="103"/>
      <c r="H969" s="104"/>
      <c r="I969" s="101">
        <v>9.07</v>
      </c>
      <c r="J969" s="99">
        <f>Table336789101112131415[[#This Row],[Sched C/ County/ State]]-Table336789101112131415[[#This Row],[2025 Rate]]</f>
        <v>0.62</v>
      </c>
    </row>
    <row r="970" spans="1:10" x14ac:dyDescent="0.2">
      <c r="A970" s="93">
        <v>3435</v>
      </c>
      <c r="B970" s="96" t="s">
        <v>886</v>
      </c>
      <c r="C970" s="95">
        <v>2009</v>
      </c>
      <c r="D970" s="96" t="s">
        <v>893</v>
      </c>
      <c r="F970" s="101">
        <v>9.69</v>
      </c>
      <c r="G970" s="103"/>
      <c r="H970" s="104"/>
      <c r="I970" s="101">
        <v>9.07</v>
      </c>
      <c r="J970" s="99">
        <f>Table336789101112131415[[#This Row],[Sched C/ County/ State]]-Table336789101112131415[[#This Row],[2025 Rate]]</f>
        <v>0.62</v>
      </c>
    </row>
    <row r="971" spans="1:10" x14ac:dyDescent="0.2">
      <c r="A971" s="93">
        <v>3436</v>
      </c>
      <c r="B971" s="96" t="s">
        <v>886</v>
      </c>
      <c r="C971" s="95">
        <v>2009</v>
      </c>
      <c r="D971" s="96" t="s">
        <v>893</v>
      </c>
      <c r="F971" s="101">
        <v>9.69</v>
      </c>
      <c r="G971" s="103"/>
      <c r="H971" s="104"/>
      <c r="I971" s="101">
        <v>9.07</v>
      </c>
      <c r="J971" s="99">
        <f>Table336789101112131415[[#This Row],[Sched C/ County/ State]]-Table336789101112131415[[#This Row],[2025 Rate]]</f>
        <v>0.62</v>
      </c>
    </row>
    <row r="972" spans="1:10" x14ac:dyDescent="0.2">
      <c r="A972" s="93">
        <v>3437</v>
      </c>
      <c r="B972" s="96" t="s">
        <v>886</v>
      </c>
      <c r="C972" s="95">
        <v>2009</v>
      </c>
      <c r="D972" s="96" t="s">
        <v>893</v>
      </c>
      <c r="F972" s="101">
        <v>9.69</v>
      </c>
      <c r="G972" s="103"/>
      <c r="H972" s="104"/>
      <c r="I972" s="101">
        <v>9.07</v>
      </c>
      <c r="J972" s="99">
        <f>Table336789101112131415[[#This Row],[Sched C/ County/ State]]-Table336789101112131415[[#This Row],[2025 Rate]]</f>
        <v>0.62</v>
      </c>
    </row>
    <row r="973" spans="1:10" x14ac:dyDescent="0.2">
      <c r="A973" s="93">
        <v>3438</v>
      </c>
      <c r="B973" s="96" t="s">
        <v>895</v>
      </c>
      <c r="C973" s="95">
        <v>2010</v>
      </c>
      <c r="D973" s="96" t="s">
        <v>893</v>
      </c>
      <c r="E973" s="96" t="s">
        <v>896</v>
      </c>
      <c r="F973" s="101">
        <v>9.69</v>
      </c>
      <c r="G973" s="103"/>
      <c r="H973" s="104"/>
      <c r="I973" s="101">
        <v>9.07</v>
      </c>
      <c r="J973" s="99">
        <f>Table336789101112131415[[#This Row],[Sched C/ County/ State]]-Table336789101112131415[[#This Row],[2025 Rate]]</f>
        <v>0.62</v>
      </c>
    </row>
    <row r="974" spans="1:10" x14ac:dyDescent="0.2">
      <c r="A974" s="93">
        <v>3439</v>
      </c>
      <c r="B974" s="96" t="s">
        <v>897</v>
      </c>
      <c r="C974" s="95">
        <v>2010</v>
      </c>
      <c r="D974" s="96" t="s">
        <v>893</v>
      </c>
      <c r="F974" s="101">
        <v>9.69</v>
      </c>
      <c r="G974" s="103"/>
      <c r="H974" s="104"/>
      <c r="I974" s="101">
        <v>9.07</v>
      </c>
      <c r="J974" s="99">
        <f>Table336789101112131415[[#This Row],[Sched C/ County/ State]]-Table336789101112131415[[#This Row],[2025 Rate]]</f>
        <v>0.62</v>
      </c>
    </row>
    <row r="975" spans="1:10" ht="30" x14ac:dyDescent="0.2">
      <c r="A975" s="93">
        <v>3440</v>
      </c>
      <c r="B975" s="96" t="s">
        <v>897</v>
      </c>
      <c r="C975" s="95">
        <v>2012</v>
      </c>
      <c r="D975" s="96" t="s">
        <v>887</v>
      </c>
      <c r="E975" s="96" t="s">
        <v>898</v>
      </c>
      <c r="F975" s="101">
        <v>9.69</v>
      </c>
      <c r="G975" s="103"/>
      <c r="H975" s="104"/>
      <c r="I975" s="101">
        <v>9.07</v>
      </c>
      <c r="J975" s="99">
        <f>Table336789101112131415[[#This Row],[Sched C/ County/ State]]-Table336789101112131415[[#This Row],[2025 Rate]]</f>
        <v>0.62</v>
      </c>
    </row>
    <row r="976" spans="1:10" x14ac:dyDescent="0.2">
      <c r="A976" s="93">
        <v>3445</v>
      </c>
      <c r="B976" s="96" t="s">
        <v>895</v>
      </c>
      <c r="C976" s="95">
        <v>2009</v>
      </c>
      <c r="D976" s="96" t="s">
        <v>887</v>
      </c>
      <c r="F976" s="101">
        <v>9.69</v>
      </c>
      <c r="G976" s="103"/>
      <c r="H976" s="104"/>
      <c r="I976" s="101">
        <v>9.07</v>
      </c>
      <c r="J976" s="99">
        <f>Table336789101112131415[[#This Row],[Sched C/ County/ State]]-Table336789101112131415[[#This Row],[2025 Rate]]</f>
        <v>0.62</v>
      </c>
    </row>
    <row r="977" spans="1:10" ht="30" x14ac:dyDescent="0.2">
      <c r="A977" s="93">
        <v>3448</v>
      </c>
      <c r="B977" s="96" t="s">
        <v>899</v>
      </c>
      <c r="C977" s="95">
        <v>2011</v>
      </c>
      <c r="F977" s="101">
        <v>9.69</v>
      </c>
      <c r="G977" s="103"/>
      <c r="H977" s="104"/>
      <c r="I977" s="101">
        <v>9.07</v>
      </c>
      <c r="J977" s="99">
        <f>Table336789101112131415[[#This Row],[Sched C/ County/ State]]-Table336789101112131415[[#This Row],[2025 Rate]]</f>
        <v>0.62</v>
      </c>
    </row>
    <row r="978" spans="1:10" x14ac:dyDescent="0.2">
      <c r="A978" s="93">
        <v>3487</v>
      </c>
      <c r="B978" s="94" t="s">
        <v>895</v>
      </c>
      <c r="C978" s="95">
        <v>2020</v>
      </c>
      <c r="D978" s="96" t="s">
        <v>900</v>
      </c>
      <c r="E978" s="96" t="s">
        <v>901</v>
      </c>
      <c r="F978" s="101">
        <v>8.82</v>
      </c>
      <c r="G978" s="103"/>
      <c r="H978" s="104"/>
      <c r="I978" s="101">
        <v>8.25</v>
      </c>
      <c r="J978" s="99">
        <f>Table336789101112131415[[#This Row],[Sched C/ County/ State]]-Table336789101112131415[[#This Row],[2025 Rate]]</f>
        <v>0.56999999999999995</v>
      </c>
    </row>
    <row r="979" spans="1:10" x14ac:dyDescent="0.2">
      <c r="A979" s="93">
        <v>3488</v>
      </c>
      <c r="B979" s="94" t="s">
        <v>895</v>
      </c>
      <c r="C979" s="95">
        <v>2024</v>
      </c>
      <c r="F979" s="101">
        <v>8.82</v>
      </c>
      <c r="G979" s="105"/>
      <c r="H979" s="104"/>
      <c r="I979" s="101">
        <v>8.25</v>
      </c>
      <c r="J979" s="99">
        <f>Table336789101112131415[[#This Row],[Sched C/ County/ State]]-Table336789101112131415[[#This Row],[2025 Rate]]</f>
        <v>0.56999999999999995</v>
      </c>
    </row>
    <row r="980" spans="1:10" x14ac:dyDescent="0.2">
      <c r="A980" s="93">
        <v>3489</v>
      </c>
      <c r="B980" s="94" t="s">
        <v>895</v>
      </c>
      <c r="C980" s="95">
        <v>2024</v>
      </c>
      <c r="F980" s="101">
        <v>9.69</v>
      </c>
      <c r="G980" s="105"/>
      <c r="H980" s="104"/>
      <c r="I980" s="101">
        <v>9.07</v>
      </c>
      <c r="J980" s="99">
        <f>Table336789101112131415[[#This Row],[Sched C/ County/ State]]-Table336789101112131415[[#This Row],[2025 Rate]]</f>
        <v>0.62</v>
      </c>
    </row>
    <row r="981" spans="1:10" x14ac:dyDescent="0.2">
      <c r="A981" s="93">
        <v>3490</v>
      </c>
      <c r="B981" s="94" t="s">
        <v>895</v>
      </c>
      <c r="C981" s="95">
        <v>2024</v>
      </c>
      <c r="F981" s="101">
        <v>8.82</v>
      </c>
      <c r="G981" s="105"/>
      <c r="H981" s="104"/>
      <c r="I981" s="101">
        <v>8.25</v>
      </c>
      <c r="J981" s="99">
        <f>Table336789101112131415[[#This Row],[Sched C/ County/ State]]-Table336789101112131415[[#This Row],[2025 Rate]]</f>
        <v>0.56999999999999995</v>
      </c>
    </row>
    <row r="982" spans="1:10" x14ac:dyDescent="0.2">
      <c r="A982" s="93">
        <v>3491</v>
      </c>
      <c r="B982" s="94" t="s">
        <v>895</v>
      </c>
      <c r="C982" s="95">
        <v>2024</v>
      </c>
      <c r="F982" s="101">
        <v>8.82</v>
      </c>
      <c r="G982" s="105"/>
      <c r="H982" s="104"/>
      <c r="I982" s="101">
        <v>8.25</v>
      </c>
      <c r="J982" s="99">
        <f>Table336789101112131415[[#This Row],[Sched C/ County/ State]]-Table336789101112131415[[#This Row],[2025 Rate]]</f>
        <v>0.56999999999999995</v>
      </c>
    </row>
    <row r="983" spans="1:10" x14ac:dyDescent="0.2">
      <c r="A983" s="93">
        <v>3492</v>
      </c>
      <c r="B983" s="94" t="s">
        <v>895</v>
      </c>
      <c r="C983" s="95">
        <v>2024</v>
      </c>
      <c r="F983" s="101">
        <v>8.82</v>
      </c>
      <c r="G983" s="105"/>
      <c r="H983" s="104"/>
      <c r="I983" s="101">
        <v>8.25</v>
      </c>
      <c r="J983" s="99">
        <f>Table336789101112131415[[#This Row],[Sched C/ County/ State]]-Table336789101112131415[[#This Row],[2025 Rate]]</f>
        <v>0.56999999999999995</v>
      </c>
    </row>
    <row r="984" spans="1:10" x14ac:dyDescent="0.2">
      <c r="A984" s="93">
        <v>3493</v>
      </c>
      <c r="B984" s="94" t="s">
        <v>895</v>
      </c>
      <c r="C984" s="95">
        <v>2024</v>
      </c>
      <c r="F984" s="101">
        <v>8.82</v>
      </c>
      <c r="G984" s="105"/>
      <c r="H984" s="104"/>
      <c r="I984" s="101">
        <v>8.25</v>
      </c>
      <c r="J984" s="99">
        <f>Table336789101112131415[[#This Row],[Sched C/ County/ State]]-Table336789101112131415[[#This Row],[2025 Rate]]</f>
        <v>0.56999999999999995</v>
      </c>
    </row>
    <row r="985" spans="1:10" x14ac:dyDescent="0.2">
      <c r="A985" s="93">
        <v>3498</v>
      </c>
      <c r="B985" s="96" t="s">
        <v>895</v>
      </c>
      <c r="C985" s="95">
        <v>2013</v>
      </c>
      <c r="F985" s="101">
        <v>9.69</v>
      </c>
      <c r="G985" s="103"/>
      <c r="H985" s="104"/>
      <c r="I985" s="101">
        <v>9.07</v>
      </c>
      <c r="J985" s="99">
        <f>Table336789101112131415[[#This Row],[Sched C/ County/ State]]-Table336789101112131415[[#This Row],[2025 Rate]]</f>
        <v>0.62</v>
      </c>
    </row>
    <row r="986" spans="1:10" x14ac:dyDescent="0.2">
      <c r="A986" s="93">
        <v>3499</v>
      </c>
      <c r="B986" s="96" t="s">
        <v>886</v>
      </c>
      <c r="C986" s="95">
        <v>2014</v>
      </c>
      <c r="D986" s="96" t="s">
        <v>887</v>
      </c>
      <c r="F986" s="101">
        <v>9.69</v>
      </c>
      <c r="G986" s="103"/>
      <c r="H986" s="104"/>
      <c r="I986" s="101">
        <v>9.07</v>
      </c>
      <c r="J986" s="99">
        <f>Table336789101112131415[[#This Row],[Sched C/ County/ State]]-Table336789101112131415[[#This Row],[2025 Rate]]</f>
        <v>0.62</v>
      </c>
    </row>
    <row r="987" spans="1:10" x14ac:dyDescent="0.2">
      <c r="A987" s="93">
        <v>3500</v>
      </c>
      <c r="B987" s="94" t="s">
        <v>902</v>
      </c>
      <c r="C987" s="95"/>
      <c r="D987" s="96" t="s">
        <v>903</v>
      </c>
      <c r="E987" s="96" t="s">
        <v>904</v>
      </c>
      <c r="F987" s="101">
        <v>1.5</v>
      </c>
      <c r="G987" s="103"/>
      <c r="H987" s="104"/>
      <c r="I987" s="101">
        <v>1.39</v>
      </c>
      <c r="J987" s="99">
        <f>Table336789101112131415[[#This Row],[Sched C/ County/ State]]-Table336789101112131415[[#This Row],[2025 Rate]]</f>
        <v>0.11</v>
      </c>
    </row>
    <row r="988" spans="1:10" x14ac:dyDescent="0.2">
      <c r="A988" s="93">
        <v>3501</v>
      </c>
      <c r="B988" s="96" t="s">
        <v>905</v>
      </c>
      <c r="C988" s="95">
        <v>2000</v>
      </c>
      <c r="D988" s="96" t="s">
        <v>906</v>
      </c>
      <c r="F988" s="101">
        <v>0.3</v>
      </c>
      <c r="G988" s="103"/>
      <c r="H988" s="104"/>
      <c r="I988" s="101">
        <v>0.28000000000000003</v>
      </c>
      <c r="J988" s="99">
        <f>Table336789101112131415[[#This Row],[Sched C/ County/ State]]-Table336789101112131415[[#This Row],[2025 Rate]]</f>
        <v>0.02</v>
      </c>
    </row>
    <row r="989" spans="1:10" x14ac:dyDescent="0.2">
      <c r="A989" s="93">
        <v>3502</v>
      </c>
      <c r="B989" s="94" t="s">
        <v>247</v>
      </c>
      <c r="C989" s="95"/>
      <c r="D989" s="96" t="s">
        <v>250</v>
      </c>
      <c r="F989" s="101">
        <v>0.47</v>
      </c>
      <c r="G989" s="103"/>
      <c r="H989" s="104"/>
      <c r="I989" s="101">
        <v>0.44</v>
      </c>
      <c r="J989" s="99">
        <f>Table336789101112131415[[#This Row],[Sched C/ County/ State]]-Table336789101112131415[[#This Row],[2025 Rate]]</f>
        <v>0.03</v>
      </c>
    </row>
    <row r="990" spans="1:10" x14ac:dyDescent="0.2">
      <c r="A990" s="93">
        <v>3503</v>
      </c>
      <c r="B990" s="94" t="s">
        <v>243</v>
      </c>
      <c r="C990" s="95"/>
      <c r="D990" s="96" t="s">
        <v>243</v>
      </c>
      <c r="F990" s="101">
        <v>0.1</v>
      </c>
      <c r="G990" s="103"/>
      <c r="H990" s="104"/>
      <c r="I990" s="101">
        <v>0.09</v>
      </c>
      <c r="J990" s="99">
        <f>Table336789101112131415[[#This Row],[Sched C/ County/ State]]-Table336789101112131415[[#This Row],[2025 Rate]]</f>
        <v>0.01</v>
      </c>
    </row>
    <row r="991" spans="1:10" x14ac:dyDescent="0.2">
      <c r="A991" s="93">
        <v>3504</v>
      </c>
      <c r="B991" s="94" t="s">
        <v>907</v>
      </c>
      <c r="C991" s="95"/>
      <c r="F991" s="101">
        <v>8.3800000000000008</v>
      </c>
      <c r="G991" s="105"/>
      <c r="H991" s="104"/>
      <c r="I991" s="101">
        <v>7.84</v>
      </c>
      <c r="J991" s="99">
        <f>Table336789101112131415[[#This Row],[Sched C/ County/ State]]-Table336789101112131415[[#This Row],[2025 Rate]]</f>
        <v>0.54</v>
      </c>
    </row>
    <row r="992" spans="1:10" x14ac:dyDescent="0.2">
      <c r="A992" s="93">
        <v>3587</v>
      </c>
      <c r="B992" s="94" t="s">
        <v>472</v>
      </c>
      <c r="C992" s="95">
        <v>2020</v>
      </c>
      <c r="D992" s="96" t="s">
        <v>908</v>
      </c>
      <c r="E992" s="96" t="s">
        <v>909</v>
      </c>
      <c r="F992" s="101">
        <v>2.59</v>
      </c>
      <c r="G992" s="103"/>
      <c r="H992" s="104"/>
      <c r="I992" s="101">
        <v>2.42</v>
      </c>
      <c r="J992" s="99">
        <f>Table336789101112131415[[#This Row],[Sched C/ County/ State]]-Table336789101112131415[[#This Row],[2025 Rate]]</f>
        <v>0.17</v>
      </c>
    </row>
    <row r="993" spans="1:10" x14ac:dyDescent="0.2">
      <c r="A993" s="93">
        <v>3601</v>
      </c>
      <c r="B993" s="96" t="s">
        <v>910</v>
      </c>
      <c r="C993" s="95">
        <v>1989</v>
      </c>
      <c r="D993" s="96" t="s">
        <v>911</v>
      </c>
      <c r="F993" s="101">
        <v>0.81</v>
      </c>
      <c r="G993" s="103"/>
      <c r="H993" s="104"/>
      <c r="I993" s="101">
        <v>0.75</v>
      </c>
      <c r="J993" s="99">
        <f>Table336789101112131415[[#This Row],[Sched C/ County/ State]]-Table336789101112131415[[#This Row],[2025 Rate]]</f>
        <v>0.06</v>
      </c>
    </row>
    <row r="994" spans="1:10" ht="30" x14ac:dyDescent="0.2">
      <c r="A994" s="93">
        <v>3607</v>
      </c>
      <c r="B994" s="94" t="s">
        <v>912</v>
      </c>
      <c r="C994" s="95">
        <v>2019</v>
      </c>
      <c r="D994" s="96" t="s">
        <v>810</v>
      </c>
      <c r="F994" s="101">
        <v>8.9499999999999993</v>
      </c>
      <c r="G994" s="103"/>
      <c r="H994" s="104"/>
      <c r="I994" s="101">
        <v>8.3800000000000008</v>
      </c>
      <c r="J994" s="99">
        <f>Table336789101112131415[[#This Row],[Sched C/ County/ State]]-Table336789101112131415[[#This Row],[2025 Rate]]</f>
        <v>0.56999999999999995</v>
      </c>
    </row>
    <row r="995" spans="1:10" x14ac:dyDescent="0.2">
      <c r="A995" s="93">
        <v>3701</v>
      </c>
      <c r="B995" s="94" t="s">
        <v>913</v>
      </c>
      <c r="C995" s="95"/>
      <c r="D995" s="96" t="s">
        <v>914</v>
      </c>
      <c r="E995" s="96" t="s">
        <v>915</v>
      </c>
      <c r="F995" s="101">
        <v>0.78</v>
      </c>
      <c r="G995" s="103"/>
      <c r="H995" s="104"/>
      <c r="I995" s="101">
        <v>0.73</v>
      </c>
      <c r="J995" s="99">
        <f>Table336789101112131415[[#This Row],[Sched C/ County/ State]]-Table336789101112131415[[#This Row],[2025 Rate]]</f>
        <v>0.05</v>
      </c>
    </row>
    <row r="996" spans="1:10" x14ac:dyDescent="0.2">
      <c r="A996" s="93">
        <v>3702</v>
      </c>
      <c r="B996" s="94" t="s">
        <v>913</v>
      </c>
      <c r="C996" s="95"/>
      <c r="D996" s="96" t="s">
        <v>916</v>
      </c>
      <c r="E996" s="96" t="s">
        <v>917</v>
      </c>
      <c r="F996" s="101">
        <v>0.78</v>
      </c>
      <c r="G996" s="103"/>
      <c r="H996" s="104"/>
      <c r="I996" s="101">
        <v>0.73</v>
      </c>
      <c r="J996" s="99">
        <f>Table336789101112131415[[#This Row],[Sched C/ County/ State]]-Table336789101112131415[[#This Row],[2025 Rate]]</f>
        <v>0.05</v>
      </c>
    </row>
    <row r="997" spans="1:10" x14ac:dyDescent="0.2">
      <c r="A997" s="93">
        <v>3703</v>
      </c>
      <c r="B997" s="94" t="s">
        <v>913</v>
      </c>
      <c r="C997" s="95"/>
      <c r="D997" s="96" t="s">
        <v>918</v>
      </c>
      <c r="F997" s="101">
        <v>0.78</v>
      </c>
      <c r="G997" s="105"/>
      <c r="H997" s="104"/>
      <c r="I997" s="101">
        <v>0.73</v>
      </c>
      <c r="J997" s="99">
        <f>Table336789101112131415[[#This Row],[Sched C/ County/ State]]-Table336789101112131415[[#This Row],[2025 Rate]]</f>
        <v>0.05</v>
      </c>
    </row>
    <row r="998" spans="1:10" x14ac:dyDescent="0.2">
      <c r="A998" s="93">
        <v>3810</v>
      </c>
      <c r="B998" s="94" t="s">
        <v>919</v>
      </c>
      <c r="C998" s="95">
        <v>10</v>
      </c>
      <c r="D998" s="96" t="s">
        <v>205</v>
      </c>
      <c r="E998" s="96">
        <v>924</v>
      </c>
      <c r="F998" s="101">
        <v>11.55</v>
      </c>
      <c r="G998" s="103"/>
      <c r="H998" s="104"/>
      <c r="I998" s="101">
        <v>10.81</v>
      </c>
      <c r="J998" s="99">
        <f>Table336789101112131415[[#This Row],[Sched C/ County/ State]]-Table336789101112131415[[#This Row],[2025 Rate]]</f>
        <v>0.74</v>
      </c>
    </row>
    <row r="999" spans="1:10" x14ac:dyDescent="0.2">
      <c r="A999" s="93">
        <v>3900</v>
      </c>
      <c r="B999" s="94" t="s">
        <v>670</v>
      </c>
      <c r="C999" s="95">
        <v>2022</v>
      </c>
      <c r="D999" s="96" t="s">
        <v>148</v>
      </c>
      <c r="E999" s="96" t="s">
        <v>920</v>
      </c>
      <c r="F999" s="101">
        <v>38.78</v>
      </c>
      <c r="G999" s="105"/>
      <c r="H999" s="104"/>
      <c r="I999" s="101">
        <v>36.29</v>
      </c>
      <c r="J999" s="99">
        <f>Table336789101112131415[[#This Row],[Sched C/ County/ State]]-Table336789101112131415[[#This Row],[2025 Rate]]</f>
        <v>2.4900000000000002</v>
      </c>
    </row>
    <row r="1000" spans="1:10" x14ac:dyDescent="0.2">
      <c r="A1000" s="93">
        <v>3901</v>
      </c>
      <c r="B1000" s="94" t="s">
        <v>670</v>
      </c>
      <c r="C1000" s="95">
        <v>2024</v>
      </c>
      <c r="D1000" s="96" t="s">
        <v>148</v>
      </c>
      <c r="E1000" s="96" t="s">
        <v>920</v>
      </c>
      <c r="F1000" s="101">
        <v>38.78</v>
      </c>
      <c r="G1000" s="105"/>
      <c r="H1000" s="104"/>
      <c r="I1000" s="101">
        <v>36.29</v>
      </c>
      <c r="J1000" s="99">
        <f>Table336789101112131415[[#This Row],[Sched C/ County/ State]]-Table336789101112131415[[#This Row],[2025 Rate]]</f>
        <v>2.4900000000000002</v>
      </c>
    </row>
    <row r="1001" spans="1:10" x14ac:dyDescent="0.2">
      <c r="A1001" s="93">
        <v>3902</v>
      </c>
      <c r="B1001" s="94" t="s">
        <v>670</v>
      </c>
      <c r="C1001" s="95">
        <v>2024</v>
      </c>
      <c r="D1001" s="96" t="s">
        <v>148</v>
      </c>
      <c r="E1001" s="96" t="s">
        <v>920</v>
      </c>
      <c r="F1001" s="101">
        <v>38.78</v>
      </c>
      <c r="G1001" s="105"/>
      <c r="H1001" s="104"/>
      <c r="I1001" s="101">
        <v>36.29</v>
      </c>
      <c r="J1001" s="99">
        <f>Table336789101112131415[[#This Row],[Sched C/ County/ State]]-Table336789101112131415[[#This Row],[2025 Rate]]</f>
        <v>2.4900000000000002</v>
      </c>
    </row>
    <row r="1002" spans="1:10" x14ac:dyDescent="0.2">
      <c r="A1002" s="93">
        <v>4027</v>
      </c>
      <c r="B1002" s="96" t="s">
        <v>921</v>
      </c>
      <c r="C1002" s="95">
        <v>2008</v>
      </c>
      <c r="D1002" s="96" t="s">
        <v>922</v>
      </c>
      <c r="E1002" s="96" t="s">
        <v>923</v>
      </c>
      <c r="F1002" s="101">
        <v>84.54</v>
      </c>
      <c r="G1002" s="103">
        <f>Table336789101112131415[[#This Row],[Sched C/ County/ State]]+0.3</f>
        <v>84.84</v>
      </c>
      <c r="H1002" s="104"/>
      <c r="I1002" s="101">
        <v>79.11</v>
      </c>
      <c r="J1002" s="99">
        <f>Table336789101112131415[[#This Row],[Sched C/ County/ State]]-Table336789101112131415[[#This Row],[2025 Rate]]</f>
        <v>5.43</v>
      </c>
    </row>
    <row r="1003" spans="1:10" x14ac:dyDescent="0.2">
      <c r="A1003" s="93">
        <v>4031</v>
      </c>
      <c r="B1003" s="96" t="s">
        <v>921</v>
      </c>
      <c r="C1003" s="95">
        <v>2008</v>
      </c>
      <c r="D1003" s="96" t="s">
        <v>922</v>
      </c>
      <c r="E1003" s="96" t="s">
        <v>923</v>
      </c>
      <c r="F1003" s="101">
        <v>84.54</v>
      </c>
      <c r="G1003" s="103">
        <f>Table336789101112131415[[#This Row],[Sched C/ County/ State]]+0.3</f>
        <v>84.84</v>
      </c>
      <c r="H1003" s="104"/>
      <c r="I1003" s="101">
        <v>79.11</v>
      </c>
      <c r="J1003" s="99">
        <f>Table336789101112131415[[#This Row],[Sched C/ County/ State]]-Table336789101112131415[[#This Row],[2025 Rate]]</f>
        <v>5.43</v>
      </c>
    </row>
    <row r="1004" spans="1:10" ht="30" x14ac:dyDescent="0.2">
      <c r="A1004" s="93">
        <v>4032</v>
      </c>
      <c r="B1004" s="96" t="s">
        <v>924</v>
      </c>
      <c r="C1004" s="95">
        <v>2010</v>
      </c>
      <c r="D1004" s="96" t="s">
        <v>136</v>
      </c>
      <c r="E1004" s="96" t="s">
        <v>925</v>
      </c>
      <c r="F1004" s="101">
        <v>84.54</v>
      </c>
      <c r="G1004" s="103">
        <f>Table336789101112131415[[#This Row],[Sched C/ County/ State]]+0.3</f>
        <v>84.84</v>
      </c>
      <c r="H1004" s="104"/>
      <c r="I1004" s="101">
        <v>79.11</v>
      </c>
      <c r="J1004" s="99">
        <f>Table336789101112131415[[#This Row],[Sched C/ County/ State]]-Table336789101112131415[[#This Row],[2025 Rate]]</f>
        <v>5.43</v>
      </c>
    </row>
    <row r="1005" spans="1:10" ht="30" x14ac:dyDescent="0.2">
      <c r="A1005" s="93">
        <v>4033</v>
      </c>
      <c r="B1005" s="96" t="s">
        <v>924</v>
      </c>
      <c r="C1005" s="95">
        <v>2010</v>
      </c>
      <c r="D1005" s="96" t="s">
        <v>136</v>
      </c>
      <c r="E1005" s="96" t="s">
        <v>926</v>
      </c>
      <c r="F1005" s="101">
        <v>84.54</v>
      </c>
      <c r="G1005" s="103">
        <f>Table336789101112131415[[#This Row],[Sched C/ County/ State]]+0.3</f>
        <v>84.84</v>
      </c>
      <c r="H1005" s="104"/>
      <c r="I1005" s="101">
        <v>79.11</v>
      </c>
      <c r="J1005" s="99">
        <f>Table336789101112131415[[#This Row],[Sched C/ County/ State]]-Table336789101112131415[[#This Row],[2025 Rate]]</f>
        <v>5.43</v>
      </c>
    </row>
    <row r="1006" spans="1:10" ht="30" x14ac:dyDescent="0.2">
      <c r="A1006" s="93">
        <v>4034</v>
      </c>
      <c r="B1006" s="96" t="s">
        <v>924</v>
      </c>
      <c r="C1006" s="95">
        <v>2010</v>
      </c>
      <c r="D1006" s="96" t="s">
        <v>136</v>
      </c>
      <c r="E1006" s="96" t="s">
        <v>925</v>
      </c>
      <c r="F1006" s="101">
        <v>84.54</v>
      </c>
      <c r="G1006" s="103">
        <f>Table336789101112131415[[#This Row],[Sched C/ County/ State]]+0.3</f>
        <v>84.84</v>
      </c>
      <c r="H1006" s="104"/>
      <c r="I1006" s="101">
        <v>79.11</v>
      </c>
      <c r="J1006" s="99">
        <f>Table336789101112131415[[#This Row],[Sched C/ County/ State]]-Table336789101112131415[[#This Row],[2025 Rate]]</f>
        <v>5.43</v>
      </c>
    </row>
    <row r="1007" spans="1:10" ht="30" x14ac:dyDescent="0.2">
      <c r="A1007" s="93">
        <v>4035</v>
      </c>
      <c r="B1007" s="96" t="s">
        <v>924</v>
      </c>
      <c r="C1007" s="95">
        <v>2009</v>
      </c>
      <c r="D1007" s="96" t="s">
        <v>136</v>
      </c>
      <c r="E1007" s="96" t="s">
        <v>925</v>
      </c>
      <c r="F1007" s="101">
        <v>84.54</v>
      </c>
      <c r="G1007" s="103">
        <f>Table336789101112131415[[#This Row],[Sched C/ County/ State]]+0.3</f>
        <v>84.84</v>
      </c>
      <c r="H1007" s="104"/>
      <c r="I1007" s="101">
        <v>79.11</v>
      </c>
      <c r="J1007" s="99">
        <f>Table336789101112131415[[#This Row],[Sched C/ County/ State]]-Table336789101112131415[[#This Row],[2025 Rate]]</f>
        <v>5.43</v>
      </c>
    </row>
    <row r="1008" spans="1:10" ht="30" x14ac:dyDescent="0.2">
      <c r="A1008" s="93">
        <v>4036</v>
      </c>
      <c r="B1008" s="96" t="s">
        <v>924</v>
      </c>
      <c r="C1008" s="95">
        <v>2010</v>
      </c>
      <c r="D1008" s="96" t="s">
        <v>136</v>
      </c>
      <c r="E1008" s="96" t="s">
        <v>925</v>
      </c>
      <c r="F1008" s="101">
        <v>84.54</v>
      </c>
      <c r="G1008" s="103">
        <f>Table336789101112131415[[#This Row],[Sched C/ County/ State]]+0.3</f>
        <v>84.84</v>
      </c>
      <c r="H1008" s="104"/>
      <c r="I1008" s="101">
        <v>79.11</v>
      </c>
      <c r="J1008" s="99">
        <f>Table336789101112131415[[#This Row],[Sched C/ County/ State]]-Table336789101112131415[[#This Row],[2025 Rate]]</f>
        <v>5.43</v>
      </c>
    </row>
    <row r="1009" spans="1:10" ht="30" x14ac:dyDescent="0.2">
      <c r="A1009" s="93">
        <v>4037</v>
      </c>
      <c r="B1009" s="96" t="s">
        <v>924</v>
      </c>
      <c r="C1009" s="95">
        <v>2010</v>
      </c>
      <c r="D1009" s="96" t="s">
        <v>136</v>
      </c>
      <c r="E1009" s="96" t="s">
        <v>925</v>
      </c>
      <c r="F1009" s="101">
        <v>84.54</v>
      </c>
      <c r="G1009" s="103">
        <f>Table336789101112131415[[#This Row],[Sched C/ County/ State]]+0.3</f>
        <v>84.84</v>
      </c>
      <c r="H1009" s="104"/>
      <c r="I1009" s="101">
        <v>79.11</v>
      </c>
      <c r="J1009" s="99">
        <f>Table336789101112131415[[#This Row],[Sched C/ County/ State]]-Table336789101112131415[[#This Row],[2025 Rate]]</f>
        <v>5.43</v>
      </c>
    </row>
    <row r="1010" spans="1:10" ht="30" x14ac:dyDescent="0.2">
      <c r="A1010" s="93">
        <v>4038</v>
      </c>
      <c r="B1010" s="96" t="s">
        <v>924</v>
      </c>
      <c r="C1010" s="95">
        <v>2010</v>
      </c>
      <c r="D1010" s="96" t="s">
        <v>136</v>
      </c>
      <c r="E1010" s="96" t="s">
        <v>925</v>
      </c>
      <c r="F1010" s="101">
        <v>84.54</v>
      </c>
      <c r="G1010" s="103">
        <f>Table336789101112131415[[#This Row],[Sched C/ County/ State]]+0.3</f>
        <v>84.84</v>
      </c>
      <c r="H1010" s="104"/>
      <c r="I1010" s="101">
        <v>79.11</v>
      </c>
      <c r="J1010" s="99">
        <f>Table336789101112131415[[#This Row],[Sched C/ County/ State]]-Table336789101112131415[[#This Row],[2025 Rate]]</f>
        <v>5.43</v>
      </c>
    </row>
    <row r="1011" spans="1:10" ht="30" x14ac:dyDescent="0.2">
      <c r="A1011" s="93">
        <v>4039</v>
      </c>
      <c r="B1011" s="96" t="s">
        <v>924</v>
      </c>
      <c r="C1011" s="95">
        <v>2010</v>
      </c>
      <c r="D1011" s="96" t="s">
        <v>136</v>
      </c>
      <c r="E1011" s="96" t="s">
        <v>925</v>
      </c>
      <c r="F1011" s="101">
        <v>84.54</v>
      </c>
      <c r="G1011" s="103">
        <f>Table336789101112131415[[#This Row],[Sched C/ County/ State]]+0.3</f>
        <v>84.84</v>
      </c>
      <c r="H1011" s="104"/>
      <c r="I1011" s="101">
        <v>79.11</v>
      </c>
      <c r="J1011" s="99">
        <f>Table336789101112131415[[#This Row],[Sched C/ County/ State]]-Table336789101112131415[[#This Row],[2025 Rate]]</f>
        <v>5.43</v>
      </c>
    </row>
    <row r="1012" spans="1:10" ht="30" x14ac:dyDescent="0.2">
      <c r="A1012" s="93">
        <v>4040</v>
      </c>
      <c r="B1012" s="96" t="s">
        <v>924</v>
      </c>
      <c r="C1012" s="95">
        <v>2010</v>
      </c>
      <c r="D1012" s="96" t="s">
        <v>136</v>
      </c>
      <c r="E1012" s="96" t="s">
        <v>925</v>
      </c>
      <c r="F1012" s="101">
        <v>84.54</v>
      </c>
      <c r="G1012" s="103">
        <f>Table336789101112131415[[#This Row],[Sched C/ County/ State]]+0.3</f>
        <v>84.84</v>
      </c>
      <c r="H1012" s="104"/>
      <c r="I1012" s="101">
        <v>79.11</v>
      </c>
      <c r="J1012" s="99">
        <f>Table336789101112131415[[#This Row],[Sched C/ County/ State]]-Table336789101112131415[[#This Row],[2025 Rate]]</f>
        <v>5.43</v>
      </c>
    </row>
    <row r="1013" spans="1:10" ht="30" x14ac:dyDescent="0.2">
      <c r="A1013" s="93">
        <v>4041</v>
      </c>
      <c r="B1013" s="96" t="s">
        <v>924</v>
      </c>
      <c r="C1013" s="95">
        <v>2010</v>
      </c>
      <c r="D1013" s="96" t="s">
        <v>136</v>
      </c>
      <c r="E1013" s="96" t="s">
        <v>925</v>
      </c>
      <c r="F1013" s="101">
        <v>84.54</v>
      </c>
      <c r="G1013" s="103">
        <f>Table336789101112131415[[#This Row],[Sched C/ County/ State]]+0.3</f>
        <v>84.84</v>
      </c>
      <c r="H1013" s="104"/>
      <c r="I1013" s="101">
        <v>79.11</v>
      </c>
      <c r="J1013" s="99">
        <f>Table336789101112131415[[#This Row],[Sched C/ County/ State]]-Table336789101112131415[[#This Row],[2025 Rate]]</f>
        <v>5.43</v>
      </c>
    </row>
    <row r="1014" spans="1:10" ht="30" x14ac:dyDescent="0.2">
      <c r="A1014" s="93">
        <v>4042</v>
      </c>
      <c r="B1014" s="96" t="s">
        <v>924</v>
      </c>
      <c r="C1014" s="95">
        <v>2011</v>
      </c>
      <c r="D1014" s="96" t="s">
        <v>136</v>
      </c>
      <c r="E1014" s="96" t="s">
        <v>925</v>
      </c>
      <c r="F1014" s="101">
        <v>84.54</v>
      </c>
      <c r="G1014" s="103">
        <f>Table336789101112131415[[#This Row],[Sched C/ County/ State]]+0.3</f>
        <v>84.84</v>
      </c>
      <c r="H1014" s="104"/>
      <c r="I1014" s="101">
        <v>79.11</v>
      </c>
      <c r="J1014" s="99">
        <f>Table336789101112131415[[#This Row],[Sched C/ County/ State]]-Table336789101112131415[[#This Row],[2025 Rate]]</f>
        <v>5.43</v>
      </c>
    </row>
    <row r="1015" spans="1:10" ht="30" x14ac:dyDescent="0.2">
      <c r="A1015" s="93">
        <v>4043</v>
      </c>
      <c r="B1015" s="96" t="s">
        <v>924</v>
      </c>
      <c r="C1015" s="95">
        <v>2011</v>
      </c>
      <c r="D1015" s="96" t="s">
        <v>136</v>
      </c>
      <c r="E1015" s="96" t="s">
        <v>925</v>
      </c>
      <c r="F1015" s="101">
        <v>84.54</v>
      </c>
      <c r="G1015" s="103">
        <f>Table336789101112131415[[#This Row],[Sched C/ County/ State]]+0.3</f>
        <v>84.84</v>
      </c>
      <c r="H1015" s="104"/>
      <c r="I1015" s="101">
        <v>79.11</v>
      </c>
      <c r="J1015" s="99">
        <f>Table336789101112131415[[#This Row],[Sched C/ County/ State]]-Table336789101112131415[[#This Row],[2025 Rate]]</f>
        <v>5.43</v>
      </c>
    </row>
    <row r="1016" spans="1:10" ht="30" x14ac:dyDescent="0.2">
      <c r="A1016" s="93">
        <v>4044</v>
      </c>
      <c r="B1016" s="96" t="s">
        <v>924</v>
      </c>
      <c r="C1016" s="95">
        <v>2011</v>
      </c>
      <c r="D1016" s="96" t="s">
        <v>136</v>
      </c>
      <c r="E1016" s="96" t="s">
        <v>925</v>
      </c>
      <c r="F1016" s="101">
        <v>84.54</v>
      </c>
      <c r="G1016" s="103">
        <f>Table336789101112131415[[#This Row],[Sched C/ County/ State]]+0.3</f>
        <v>84.84</v>
      </c>
      <c r="H1016" s="104"/>
      <c r="I1016" s="101">
        <v>79.11</v>
      </c>
      <c r="J1016" s="99">
        <f>Table336789101112131415[[#This Row],[Sched C/ County/ State]]-Table336789101112131415[[#This Row],[2025 Rate]]</f>
        <v>5.43</v>
      </c>
    </row>
    <row r="1017" spans="1:10" ht="30" x14ac:dyDescent="0.2">
      <c r="A1017" s="93">
        <v>4045</v>
      </c>
      <c r="B1017" s="96" t="s">
        <v>924</v>
      </c>
      <c r="C1017" s="95">
        <v>2011</v>
      </c>
      <c r="D1017" s="96" t="s">
        <v>136</v>
      </c>
      <c r="E1017" s="96" t="s">
        <v>925</v>
      </c>
      <c r="F1017" s="101">
        <v>84.54</v>
      </c>
      <c r="G1017" s="103">
        <f>Table336789101112131415[[#This Row],[Sched C/ County/ State]]+0.3</f>
        <v>84.84</v>
      </c>
      <c r="H1017" s="104"/>
      <c r="I1017" s="101">
        <v>79.11</v>
      </c>
      <c r="J1017" s="99">
        <f>Table336789101112131415[[#This Row],[Sched C/ County/ State]]-Table336789101112131415[[#This Row],[2025 Rate]]</f>
        <v>5.43</v>
      </c>
    </row>
    <row r="1018" spans="1:10" ht="30" x14ac:dyDescent="0.2">
      <c r="A1018" s="93">
        <v>4046</v>
      </c>
      <c r="B1018" s="96" t="s">
        <v>924</v>
      </c>
      <c r="C1018" s="95">
        <v>2011</v>
      </c>
      <c r="D1018" s="96" t="s">
        <v>136</v>
      </c>
      <c r="E1018" s="96" t="s">
        <v>925</v>
      </c>
      <c r="F1018" s="101">
        <v>84.54</v>
      </c>
      <c r="G1018" s="103">
        <f>Table336789101112131415[[#This Row],[Sched C/ County/ State]]+0.3</f>
        <v>84.84</v>
      </c>
      <c r="H1018" s="104"/>
      <c r="I1018" s="101">
        <v>79.11</v>
      </c>
      <c r="J1018" s="99">
        <f>Table336789101112131415[[#This Row],[Sched C/ County/ State]]-Table336789101112131415[[#This Row],[2025 Rate]]</f>
        <v>5.43</v>
      </c>
    </row>
    <row r="1019" spans="1:10" ht="30" x14ac:dyDescent="0.2">
      <c r="A1019" s="93">
        <v>4048</v>
      </c>
      <c r="B1019" s="96" t="s">
        <v>927</v>
      </c>
      <c r="C1019" s="95">
        <v>2012</v>
      </c>
      <c r="D1019" s="96" t="s">
        <v>136</v>
      </c>
      <c r="E1019" s="96" t="s">
        <v>925</v>
      </c>
      <c r="F1019" s="101">
        <v>105.05</v>
      </c>
      <c r="G1019" s="103">
        <f>Table336789101112131415[[#This Row],[Sched C/ County/ State]]+0.3</f>
        <v>105.35</v>
      </c>
      <c r="H1019" s="104"/>
      <c r="I1019" s="101">
        <v>97.54</v>
      </c>
      <c r="J1019" s="99">
        <f>Table336789101112131415[[#This Row],[Sched C/ County/ State]]-Table336789101112131415[[#This Row],[2025 Rate]]</f>
        <v>7.51</v>
      </c>
    </row>
    <row r="1020" spans="1:10" ht="30" x14ac:dyDescent="0.2">
      <c r="A1020" s="93">
        <v>4049</v>
      </c>
      <c r="B1020" s="96" t="s">
        <v>927</v>
      </c>
      <c r="C1020" s="95">
        <v>2012</v>
      </c>
      <c r="D1020" s="96" t="s">
        <v>136</v>
      </c>
      <c r="E1020" s="96" t="s">
        <v>925</v>
      </c>
      <c r="F1020" s="101">
        <v>105.05</v>
      </c>
      <c r="G1020" s="103">
        <f>Table336789101112131415[[#This Row],[Sched C/ County/ State]]+0.3</f>
        <v>105.35</v>
      </c>
      <c r="H1020" s="104"/>
      <c r="I1020" s="101">
        <v>97.54</v>
      </c>
      <c r="J1020" s="99">
        <f>Table336789101112131415[[#This Row],[Sched C/ County/ State]]-Table336789101112131415[[#This Row],[2025 Rate]]</f>
        <v>7.51</v>
      </c>
    </row>
    <row r="1021" spans="1:10" ht="30" x14ac:dyDescent="0.2">
      <c r="A1021" s="93">
        <v>4050</v>
      </c>
      <c r="B1021" s="96" t="s">
        <v>927</v>
      </c>
      <c r="C1021" s="95">
        <v>2012</v>
      </c>
      <c r="D1021" s="96" t="s">
        <v>136</v>
      </c>
      <c r="E1021" s="96" t="s">
        <v>925</v>
      </c>
      <c r="F1021" s="101">
        <v>105.05</v>
      </c>
      <c r="G1021" s="103">
        <f>Table336789101112131415[[#This Row],[Sched C/ County/ State]]+0.3</f>
        <v>105.35</v>
      </c>
      <c r="H1021" s="104"/>
      <c r="I1021" s="101">
        <v>97.54</v>
      </c>
      <c r="J1021" s="99">
        <f>Table336789101112131415[[#This Row],[Sched C/ County/ State]]-Table336789101112131415[[#This Row],[2025 Rate]]</f>
        <v>7.51</v>
      </c>
    </row>
    <row r="1022" spans="1:10" ht="30" x14ac:dyDescent="0.2">
      <c r="A1022" s="93">
        <v>4054</v>
      </c>
      <c r="B1022" s="96" t="s">
        <v>927</v>
      </c>
      <c r="C1022" s="95">
        <v>2013</v>
      </c>
      <c r="D1022" s="96" t="s">
        <v>136</v>
      </c>
      <c r="E1022" s="96" t="s">
        <v>925</v>
      </c>
      <c r="F1022" s="101">
        <v>105.05</v>
      </c>
      <c r="G1022" s="103">
        <f>Table336789101112131415[[#This Row],[Sched C/ County/ State]]+0.3</f>
        <v>105.35</v>
      </c>
      <c r="H1022" s="104"/>
      <c r="I1022" s="101">
        <v>97.54</v>
      </c>
      <c r="J1022" s="99">
        <f>Table336789101112131415[[#This Row],[Sched C/ County/ State]]-Table336789101112131415[[#This Row],[2025 Rate]]</f>
        <v>7.51</v>
      </c>
    </row>
    <row r="1023" spans="1:10" ht="30" x14ac:dyDescent="0.2">
      <c r="A1023" s="93">
        <v>4055</v>
      </c>
      <c r="B1023" s="96" t="s">
        <v>927</v>
      </c>
      <c r="C1023" s="95">
        <v>2013</v>
      </c>
      <c r="D1023" s="96" t="s">
        <v>136</v>
      </c>
      <c r="E1023" s="96" t="s">
        <v>925</v>
      </c>
      <c r="F1023" s="101">
        <v>105.05</v>
      </c>
      <c r="G1023" s="103">
        <f>Table336789101112131415[[#This Row],[Sched C/ County/ State]]+0.3</f>
        <v>105.35</v>
      </c>
      <c r="H1023" s="104"/>
      <c r="I1023" s="101">
        <v>97.54</v>
      </c>
      <c r="J1023" s="99">
        <f>Table336789101112131415[[#This Row],[Sched C/ County/ State]]-Table336789101112131415[[#This Row],[2025 Rate]]</f>
        <v>7.51</v>
      </c>
    </row>
    <row r="1024" spans="1:10" ht="30" x14ac:dyDescent="0.2">
      <c r="A1024" s="93">
        <v>4056</v>
      </c>
      <c r="B1024" s="96" t="s">
        <v>927</v>
      </c>
      <c r="C1024" s="95">
        <v>2013</v>
      </c>
      <c r="D1024" s="96" t="s">
        <v>136</v>
      </c>
      <c r="E1024" s="96" t="s">
        <v>925</v>
      </c>
      <c r="F1024" s="101">
        <v>105.05</v>
      </c>
      <c r="G1024" s="103">
        <f>Table336789101112131415[[#This Row],[Sched C/ County/ State]]+0.3</f>
        <v>105.35</v>
      </c>
      <c r="H1024" s="104"/>
      <c r="I1024" s="101">
        <v>97.54</v>
      </c>
      <c r="J1024" s="99">
        <f>Table336789101112131415[[#This Row],[Sched C/ County/ State]]-Table336789101112131415[[#This Row],[2025 Rate]]</f>
        <v>7.51</v>
      </c>
    </row>
    <row r="1025" spans="1:10" ht="30" x14ac:dyDescent="0.2">
      <c r="A1025" s="93">
        <v>4057</v>
      </c>
      <c r="B1025" s="96" t="s">
        <v>927</v>
      </c>
      <c r="C1025" s="95">
        <v>2014</v>
      </c>
      <c r="D1025" s="96" t="s">
        <v>136</v>
      </c>
      <c r="E1025" s="96" t="s">
        <v>925</v>
      </c>
      <c r="F1025" s="101">
        <v>105.05</v>
      </c>
      <c r="G1025" s="103">
        <f>Table336789101112131415[[#This Row],[Sched C/ County/ State]]+0.3</f>
        <v>105.35</v>
      </c>
      <c r="H1025" s="104"/>
      <c r="I1025" s="101">
        <v>97.54</v>
      </c>
      <c r="J1025" s="99">
        <f>Table336789101112131415[[#This Row],[Sched C/ County/ State]]-Table336789101112131415[[#This Row],[2025 Rate]]</f>
        <v>7.51</v>
      </c>
    </row>
    <row r="1026" spans="1:10" ht="30" x14ac:dyDescent="0.2">
      <c r="A1026" s="93">
        <v>4058</v>
      </c>
      <c r="B1026" s="96" t="s">
        <v>927</v>
      </c>
      <c r="C1026" s="95">
        <v>2014</v>
      </c>
      <c r="D1026" s="96" t="s">
        <v>136</v>
      </c>
      <c r="E1026" s="96" t="s">
        <v>925</v>
      </c>
      <c r="F1026" s="101">
        <v>105.05</v>
      </c>
      <c r="G1026" s="103">
        <f>Table336789101112131415[[#This Row],[Sched C/ County/ State]]+0.3</f>
        <v>105.35</v>
      </c>
      <c r="H1026" s="104"/>
      <c r="I1026" s="101">
        <v>97.54</v>
      </c>
      <c r="J1026" s="99">
        <f>Table336789101112131415[[#This Row],[Sched C/ County/ State]]-Table336789101112131415[[#This Row],[2025 Rate]]</f>
        <v>7.51</v>
      </c>
    </row>
    <row r="1027" spans="1:10" ht="30" x14ac:dyDescent="0.2">
      <c r="A1027" s="93">
        <v>4059</v>
      </c>
      <c r="B1027" s="96" t="s">
        <v>927</v>
      </c>
      <c r="C1027" s="95">
        <v>2014</v>
      </c>
      <c r="D1027" s="96" t="s">
        <v>136</v>
      </c>
      <c r="E1027" s="96" t="s">
        <v>925</v>
      </c>
      <c r="F1027" s="101">
        <v>105.05</v>
      </c>
      <c r="G1027" s="103">
        <f>Table336789101112131415[[#This Row],[Sched C/ County/ State]]+0.3</f>
        <v>105.35</v>
      </c>
      <c r="H1027" s="104"/>
      <c r="I1027" s="101">
        <v>97.54</v>
      </c>
      <c r="J1027" s="99">
        <f>Table336789101112131415[[#This Row],[Sched C/ County/ State]]-Table336789101112131415[[#This Row],[2025 Rate]]</f>
        <v>7.51</v>
      </c>
    </row>
    <row r="1028" spans="1:10" ht="30" x14ac:dyDescent="0.2">
      <c r="A1028" s="93">
        <v>4060</v>
      </c>
      <c r="B1028" s="96" t="s">
        <v>927</v>
      </c>
      <c r="C1028" s="95">
        <v>2014</v>
      </c>
      <c r="D1028" s="96" t="s">
        <v>136</v>
      </c>
      <c r="E1028" s="96" t="s">
        <v>925</v>
      </c>
      <c r="F1028" s="101">
        <v>105.05</v>
      </c>
      <c r="G1028" s="103">
        <f>Table336789101112131415[[#This Row],[Sched C/ County/ State]]+0.3</f>
        <v>105.35</v>
      </c>
      <c r="H1028" s="104"/>
      <c r="I1028" s="101">
        <v>97.54</v>
      </c>
      <c r="J1028" s="99">
        <f>Table336789101112131415[[#This Row],[Sched C/ County/ State]]-Table336789101112131415[[#This Row],[2025 Rate]]</f>
        <v>7.51</v>
      </c>
    </row>
    <row r="1029" spans="1:10" ht="30" x14ac:dyDescent="0.2">
      <c r="A1029" s="93">
        <v>4061</v>
      </c>
      <c r="B1029" s="96" t="s">
        <v>927</v>
      </c>
      <c r="C1029" s="95">
        <v>2014</v>
      </c>
      <c r="D1029" s="96" t="s">
        <v>136</v>
      </c>
      <c r="E1029" s="96" t="s">
        <v>925</v>
      </c>
      <c r="F1029" s="101">
        <v>105.05</v>
      </c>
      <c r="G1029" s="103">
        <f>Table336789101112131415[[#This Row],[Sched C/ County/ State]]+0.3</f>
        <v>105.35</v>
      </c>
      <c r="H1029" s="104"/>
      <c r="I1029" s="101">
        <v>97.54</v>
      </c>
      <c r="J1029" s="99">
        <f>Table336789101112131415[[#This Row],[Sched C/ County/ State]]-Table336789101112131415[[#This Row],[2025 Rate]]</f>
        <v>7.51</v>
      </c>
    </row>
    <row r="1030" spans="1:10" ht="30" x14ac:dyDescent="0.2">
      <c r="A1030" s="93">
        <v>4062</v>
      </c>
      <c r="B1030" s="94" t="s">
        <v>927</v>
      </c>
      <c r="C1030" s="95">
        <v>2016</v>
      </c>
      <c r="D1030" s="96" t="s">
        <v>136</v>
      </c>
      <c r="E1030" s="96" t="s">
        <v>925</v>
      </c>
      <c r="F1030" s="101">
        <v>105.05</v>
      </c>
      <c r="G1030" s="103">
        <f>Table336789101112131415[[#This Row],[Sched C/ County/ State]]+0.3</f>
        <v>105.35</v>
      </c>
      <c r="H1030" s="104"/>
      <c r="I1030" s="101">
        <v>97.54</v>
      </c>
      <c r="J1030" s="99">
        <f>Table336789101112131415[[#This Row],[Sched C/ County/ State]]-Table336789101112131415[[#This Row],[2025 Rate]]</f>
        <v>7.51</v>
      </c>
    </row>
    <row r="1031" spans="1:10" ht="30" x14ac:dyDescent="0.2">
      <c r="A1031" s="93">
        <v>4065</v>
      </c>
      <c r="B1031" s="94" t="s">
        <v>927</v>
      </c>
      <c r="C1031" s="95">
        <v>2016</v>
      </c>
      <c r="D1031" s="96" t="s">
        <v>136</v>
      </c>
      <c r="E1031" s="96" t="s">
        <v>925</v>
      </c>
      <c r="F1031" s="101">
        <v>105.05</v>
      </c>
      <c r="G1031" s="103">
        <f>Table336789101112131415[[#This Row],[Sched C/ County/ State]]+0.3</f>
        <v>105.35</v>
      </c>
      <c r="H1031" s="104"/>
      <c r="I1031" s="101">
        <v>97.54</v>
      </c>
      <c r="J1031" s="99">
        <f>Table336789101112131415[[#This Row],[Sched C/ County/ State]]-Table336789101112131415[[#This Row],[2025 Rate]]</f>
        <v>7.51</v>
      </c>
    </row>
    <row r="1032" spans="1:10" ht="30" x14ac:dyDescent="0.2">
      <c r="A1032" s="93">
        <v>4066</v>
      </c>
      <c r="B1032" s="94" t="s">
        <v>927</v>
      </c>
      <c r="C1032" s="95">
        <v>2016</v>
      </c>
      <c r="D1032" s="96" t="s">
        <v>136</v>
      </c>
      <c r="E1032" s="96" t="s">
        <v>925</v>
      </c>
      <c r="F1032" s="101">
        <v>105.05</v>
      </c>
      <c r="G1032" s="103">
        <f>Table336789101112131415[[#This Row],[Sched C/ County/ State]]+0.3</f>
        <v>105.35</v>
      </c>
      <c r="H1032" s="104"/>
      <c r="I1032" s="101">
        <v>97.54</v>
      </c>
      <c r="J1032" s="99">
        <f>Table336789101112131415[[#This Row],[Sched C/ County/ State]]-Table336789101112131415[[#This Row],[2025 Rate]]</f>
        <v>7.51</v>
      </c>
    </row>
    <row r="1033" spans="1:10" ht="30" x14ac:dyDescent="0.2">
      <c r="A1033" s="93">
        <v>4121</v>
      </c>
      <c r="B1033" s="94" t="s">
        <v>928</v>
      </c>
      <c r="C1033" s="95">
        <v>2020</v>
      </c>
      <c r="D1033" s="96" t="s">
        <v>170</v>
      </c>
      <c r="E1033" s="96" t="s">
        <v>929</v>
      </c>
      <c r="F1033" s="101">
        <v>25.2</v>
      </c>
      <c r="G1033" s="103"/>
      <c r="H1033" s="104"/>
      <c r="I1033" s="101">
        <v>23.58</v>
      </c>
      <c r="J1033" s="99">
        <f>Table336789101112131415[[#This Row],[Sched C/ County/ State]]-Table336789101112131415[[#This Row],[2025 Rate]]</f>
        <v>1.62</v>
      </c>
    </row>
    <row r="1034" spans="1:10" ht="30" x14ac:dyDescent="0.2">
      <c r="A1034" s="93">
        <v>4122</v>
      </c>
      <c r="B1034" s="94" t="s">
        <v>928</v>
      </c>
      <c r="C1034" s="95">
        <v>2020</v>
      </c>
      <c r="D1034" s="96" t="s">
        <v>930</v>
      </c>
      <c r="E1034" s="96" t="s">
        <v>929</v>
      </c>
      <c r="F1034" s="101">
        <v>25.2</v>
      </c>
      <c r="G1034" s="103"/>
      <c r="H1034" s="104"/>
      <c r="I1034" s="101">
        <v>23.58</v>
      </c>
      <c r="J1034" s="99">
        <f>Table336789101112131415[[#This Row],[Sched C/ County/ State]]-Table336789101112131415[[#This Row],[2025 Rate]]</f>
        <v>1.62</v>
      </c>
    </row>
    <row r="1035" spans="1:10" ht="30" x14ac:dyDescent="0.2">
      <c r="A1035" s="93">
        <v>5000</v>
      </c>
      <c r="B1035" s="96" t="s">
        <v>351</v>
      </c>
      <c r="C1035" s="95">
        <v>2003</v>
      </c>
      <c r="D1035" s="96" t="s">
        <v>170</v>
      </c>
      <c r="E1035" s="96" t="s">
        <v>364</v>
      </c>
      <c r="F1035" s="101">
        <v>15.94</v>
      </c>
      <c r="G1035" s="103"/>
      <c r="H1035" s="104"/>
      <c r="I1035" s="101">
        <v>14.92</v>
      </c>
      <c r="J1035" s="99">
        <f>Table336789101112131415[[#This Row],[Sched C/ County/ State]]-Table336789101112131415[[#This Row],[2025 Rate]]</f>
        <v>1.02</v>
      </c>
    </row>
    <row r="1036" spans="1:10" ht="30" x14ac:dyDescent="0.2">
      <c r="A1036" s="93">
        <v>5001</v>
      </c>
      <c r="B1036" s="96" t="s">
        <v>351</v>
      </c>
      <c r="C1036" s="95">
        <v>2003</v>
      </c>
      <c r="D1036" s="96" t="s">
        <v>170</v>
      </c>
      <c r="E1036" s="96" t="s">
        <v>931</v>
      </c>
      <c r="F1036" s="101">
        <v>15.94</v>
      </c>
      <c r="G1036" s="103"/>
      <c r="H1036" s="104"/>
      <c r="I1036" s="101">
        <v>14.92</v>
      </c>
      <c r="J1036" s="99">
        <f>Table336789101112131415[[#This Row],[Sched C/ County/ State]]-Table336789101112131415[[#This Row],[2025 Rate]]</f>
        <v>1.02</v>
      </c>
    </row>
    <row r="1037" spans="1:10" ht="30" x14ac:dyDescent="0.2">
      <c r="A1037" s="93">
        <v>5002</v>
      </c>
      <c r="B1037" s="96" t="s">
        <v>351</v>
      </c>
      <c r="C1037" s="95">
        <v>2003</v>
      </c>
      <c r="D1037" s="96" t="s">
        <v>170</v>
      </c>
      <c r="E1037" s="96" t="s">
        <v>932</v>
      </c>
      <c r="F1037" s="101">
        <v>15.94</v>
      </c>
      <c r="G1037" s="103"/>
      <c r="H1037" s="104"/>
      <c r="I1037" s="101">
        <v>14.92</v>
      </c>
      <c r="J1037" s="99">
        <f>Table336789101112131415[[#This Row],[Sched C/ County/ State]]-Table336789101112131415[[#This Row],[2025 Rate]]</f>
        <v>1.02</v>
      </c>
    </row>
    <row r="1038" spans="1:10" ht="30" x14ac:dyDescent="0.2">
      <c r="A1038" s="93">
        <v>5003</v>
      </c>
      <c r="B1038" s="96" t="s">
        <v>351</v>
      </c>
      <c r="C1038" s="95">
        <v>2003</v>
      </c>
      <c r="D1038" s="96" t="s">
        <v>170</v>
      </c>
      <c r="E1038" s="96" t="s">
        <v>933</v>
      </c>
      <c r="F1038" s="101">
        <v>15.94</v>
      </c>
      <c r="G1038" s="103"/>
      <c r="H1038" s="104"/>
      <c r="I1038" s="101">
        <v>14.92</v>
      </c>
      <c r="J1038" s="99">
        <f>Table336789101112131415[[#This Row],[Sched C/ County/ State]]-Table336789101112131415[[#This Row],[2025 Rate]]</f>
        <v>1.02</v>
      </c>
    </row>
    <row r="1039" spans="1:10" ht="30" x14ac:dyDescent="0.2">
      <c r="A1039" s="93">
        <v>5004</v>
      </c>
      <c r="B1039" s="96" t="s">
        <v>351</v>
      </c>
      <c r="C1039" s="95">
        <v>2003</v>
      </c>
      <c r="D1039" s="96" t="s">
        <v>170</v>
      </c>
      <c r="E1039" s="96" t="s">
        <v>931</v>
      </c>
      <c r="F1039" s="101">
        <v>15.94</v>
      </c>
      <c r="G1039" s="103"/>
      <c r="H1039" s="104"/>
      <c r="I1039" s="101">
        <v>14.92</v>
      </c>
      <c r="J1039" s="99">
        <f>Table336789101112131415[[#This Row],[Sched C/ County/ State]]-Table336789101112131415[[#This Row],[2025 Rate]]</f>
        <v>1.02</v>
      </c>
    </row>
    <row r="1040" spans="1:10" ht="30" x14ac:dyDescent="0.2">
      <c r="A1040" s="93">
        <v>5005</v>
      </c>
      <c r="B1040" s="96" t="s">
        <v>351</v>
      </c>
      <c r="C1040" s="95">
        <v>2003</v>
      </c>
      <c r="D1040" s="96" t="s">
        <v>170</v>
      </c>
      <c r="E1040" s="96" t="s">
        <v>934</v>
      </c>
      <c r="F1040" s="101">
        <v>15.94</v>
      </c>
      <c r="G1040" s="103"/>
      <c r="H1040" s="104"/>
      <c r="I1040" s="101">
        <v>14.92</v>
      </c>
      <c r="J1040" s="99">
        <f>Table336789101112131415[[#This Row],[Sched C/ County/ State]]-Table336789101112131415[[#This Row],[2025 Rate]]</f>
        <v>1.02</v>
      </c>
    </row>
    <row r="1041" spans="1:10" ht="30" x14ac:dyDescent="0.2">
      <c r="A1041" s="93">
        <v>5006</v>
      </c>
      <c r="B1041" s="96" t="s">
        <v>351</v>
      </c>
      <c r="C1041" s="95">
        <v>2003</v>
      </c>
      <c r="D1041" s="96" t="s">
        <v>170</v>
      </c>
      <c r="E1041" s="96" t="s">
        <v>364</v>
      </c>
      <c r="F1041" s="101">
        <v>15.94</v>
      </c>
      <c r="G1041" s="103"/>
      <c r="H1041" s="104"/>
      <c r="I1041" s="101">
        <v>14.92</v>
      </c>
      <c r="J1041" s="99">
        <f>Table336789101112131415[[#This Row],[Sched C/ County/ State]]-Table336789101112131415[[#This Row],[2025 Rate]]</f>
        <v>1.02</v>
      </c>
    </row>
    <row r="1042" spans="1:10" ht="30" x14ac:dyDescent="0.2">
      <c r="A1042" s="93">
        <v>5007</v>
      </c>
      <c r="B1042" s="96" t="s">
        <v>351</v>
      </c>
      <c r="C1042" s="95">
        <v>2003</v>
      </c>
      <c r="D1042" s="96" t="s">
        <v>170</v>
      </c>
      <c r="E1042" s="96" t="s">
        <v>935</v>
      </c>
      <c r="F1042" s="101">
        <v>15.94</v>
      </c>
      <c r="G1042" s="103"/>
      <c r="H1042" s="104"/>
      <c r="I1042" s="101">
        <v>14.92</v>
      </c>
      <c r="J1042" s="99">
        <f>Table336789101112131415[[#This Row],[Sched C/ County/ State]]-Table336789101112131415[[#This Row],[2025 Rate]]</f>
        <v>1.02</v>
      </c>
    </row>
    <row r="1043" spans="1:10" ht="30" x14ac:dyDescent="0.2">
      <c r="A1043" s="93">
        <v>5008</v>
      </c>
      <c r="B1043" s="96" t="s">
        <v>351</v>
      </c>
      <c r="C1043" s="95">
        <v>2003</v>
      </c>
      <c r="D1043" s="96" t="s">
        <v>170</v>
      </c>
      <c r="E1043" s="96" t="s">
        <v>931</v>
      </c>
      <c r="F1043" s="101">
        <v>15.94</v>
      </c>
      <c r="G1043" s="103"/>
      <c r="H1043" s="104"/>
      <c r="I1043" s="101">
        <v>14.92</v>
      </c>
      <c r="J1043" s="99">
        <f>Table336789101112131415[[#This Row],[Sched C/ County/ State]]-Table336789101112131415[[#This Row],[2025 Rate]]</f>
        <v>1.02</v>
      </c>
    </row>
    <row r="1044" spans="1:10" ht="30" x14ac:dyDescent="0.2">
      <c r="A1044" s="93">
        <v>5009</v>
      </c>
      <c r="B1044" s="96" t="s">
        <v>351</v>
      </c>
      <c r="C1044" s="95">
        <v>2006</v>
      </c>
      <c r="D1044" s="96" t="s">
        <v>170</v>
      </c>
      <c r="E1044" s="96" t="s">
        <v>936</v>
      </c>
      <c r="F1044" s="101">
        <v>15.94</v>
      </c>
      <c r="G1044" s="103"/>
      <c r="H1044" s="104"/>
      <c r="I1044" s="101">
        <v>14.92</v>
      </c>
      <c r="J1044" s="99">
        <f>Table336789101112131415[[#This Row],[Sched C/ County/ State]]-Table336789101112131415[[#This Row],[2025 Rate]]</f>
        <v>1.02</v>
      </c>
    </row>
    <row r="1045" spans="1:10" ht="30" x14ac:dyDescent="0.2">
      <c r="A1045" s="93">
        <v>5010</v>
      </c>
      <c r="B1045" s="96" t="s">
        <v>351</v>
      </c>
      <c r="C1045" s="95">
        <v>2006</v>
      </c>
      <c r="D1045" s="96" t="s">
        <v>170</v>
      </c>
      <c r="E1045" s="96" t="s">
        <v>931</v>
      </c>
      <c r="F1045" s="101">
        <v>15.94</v>
      </c>
      <c r="G1045" s="103"/>
      <c r="H1045" s="104"/>
      <c r="I1045" s="101">
        <v>14.92</v>
      </c>
      <c r="J1045" s="99">
        <f>Table336789101112131415[[#This Row],[Sched C/ County/ State]]-Table336789101112131415[[#This Row],[2025 Rate]]</f>
        <v>1.02</v>
      </c>
    </row>
    <row r="1046" spans="1:10" x14ac:dyDescent="0.2">
      <c r="A1046" s="93">
        <v>5011</v>
      </c>
      <c r="B1046" s="96" t="s">
        <v>351</v>
      </c>
      <c r="C1046" s="95">
        <v>2006</v>
      </c>
      <c r="D1046" s="96" t="s">
        <v>170</v>
      </c>
      <c r="F1046" s="101">
        <v>15.94</v>
      </c>
      <c r="G1046" s="103"/>
      <c r="H1046" s="104"/>
      <c r="I1046" s="101">
        <v>14.92</v>
      </c>
      <c r="J1046" s="99">
        <f>Table336789101112131415[[#This Row],[Sched C/ County/ State]]-Table336789101112131415[[#This Row],[2025 Rate]]</f>
        <v>1.02</v>
      </c>
    </row>
    <row r="1047" spans="1:10" x14ac:dyDescent="0.2">
      <c r="A1047" s="93">
        <v>5012</v>
      </c>
      <c r="B1047" s="96" t="s">
        <v>351</v>
      </c>
      <c r="C1047" s="95">
        <v>2006</v>
      </c>
      <c r="D1047" s="96" t="s">
        <v>170</v>
      </c>
      <c r="F1047" s="101">
        <v>15.94</v>
      </c>
      <c r="G1047" s="103"/>
      <c r="H1047" s="104"/>
      <c r="I1047" s="101">
        <v>14.92</v>
      </c>
      <c r="J1047" s="99">
        <f>Table336789101112131415[[#This Row],[Sched C/ County/ State]]-Table336789101112131415[[#This Row],[2025 Rate]]</f>
        <v>1.02</v>
      </c>
    </row>
    <row r="1048" spans="1:10" x14ac:dyDescent="0.2">
      <c r="A1048" s="93">
        <v>5013</v>
      </c>
      <c r="B1048" s="96" t="s">
        <v>351</v>
      </c>
      <c r="C1048" s="95">
        <v>2006</v>
      </c>
      <c r="D1048" s="96" t="s">
        <v>170</v>
      </c>
      <c r="F1048" s="101">
        <v>15.94</v>
      </c>
      <c r="G1048" s="103"/>
      <c r="H1048" s="104"/>
      <c r="I1048" s="101">
        <v>14.92</v>
      </c>
      <c r="J1048" s="99">
        <f>Table336789101112131415[[#This Row],[Sched C/ County/ State]]-Table336789101112131415[[#This Row],[2025 Rate]]</f>
        <v>1.02</v>
      </c>
    </row>
    <row r="1049" spans="1:10" x14ac:dyDescent="0.2">
      <c r="A1049" s="93">
        <v>5014</v>
      </c>
      <c r="B1049" s="96" t="s">
        <v>351</v>
      </c>
      <c r="C1049" s="95">
        <v>2006</v>
      </c>
      <c r="D1049" s="96" t="s">
        <v>170</v>
      </c>
      <c r="F1049" s="101">
        <v>15.94</v>
      </c>
      <c r="G1049" s="103"/>
      <c r="H1049" s="104"/>
      <c r="I1049" s="101">
        <v>14.92</v>
      </c>
      <c r="J1049" s="99">
        <f>Table336789101112131415[[#This Row],[Sched C/ County/ State]]-Table336789101112131415[[#This Row],[2025 Rate]]</f>
        <v>1.02</v>
      </c>
    </row>
    <row r="1050" spans="1:10" ht="30" x14ac:dyDescent="0.2">
      <c r="A1050" s="93">
        <v>5015</v>
      </c>
      <c r="B1050" s="96" t="s">
        <v>351</v>
      </c>
      <c r="C1050" s="95">
        <v>2006</v>
      </c>
      <c r="D1050" s="96" t="s">
        <v>170</v>
      </c>
      <c r="E1050" s="96" t="s">
        <v>937</v>
      </c>
      <c r="F1050" s="101">
        <v>15.94</v>
      </c>
      <c r="G1050" s="103"/>
      <c r="H1050" s="104"/>
      <c r="I1050" s="101">
        <v>14.92</v>
      </c>
      <c r="J1050" s="99">
        <f>Table336789101112131415[[#This Row],[Sched C/ County/ State]]-Table336789101112131415[[#This Row],[2025 Rate]]</f>
        <v>1.02</v>
      </c>
    </row>
    <row r="1051" spans="1:10" ht="30" x14ac:dyDescent="0.2">
      <c r="A1051" s="93">
        <v>5016</v>
      </c>
      <c r="B1051" s="96" t="s">
        <v>351</v>
      </c>
      <c r="C1051" s="95">
        <v>2007</v>
      </c>
      <c r="D1051" s="96" t="s">
        <v>170</v>
      </c>
      <c r="E1051" s="96" t="s">
        <v>938</v>
      </c>
      <c r="F1051" s="101">
        <v>15.94</v>
      </c>
      <c r="G1051" s="103"/>
      <c r="H1051" s="104"/>
      <c r="I1051" s="101">
        <v>14.92</v>
      </c>
      <c r="J1051" s="99">
        <f>Table336789101112131415[[#This Row],[Sched C/ County/ State]]-Table336789101112131415[[#This Row],[2025 Rate]]</f>
        <v>1.02</v>
      </c>
    </row>
    <row r="1052" spans="1:10" ht="30" x14ac:dyDescent="0.2">
      <c r="A1052" s="93">
        <v>5017</v>
      </c>
      <c r="B1052" s="96" t="s">
        <v>351</v>
      </c>
      <c r="C1052" s="95">
        <v>2007</v>
      </c>
      <c r="D1052" s="96" t="s">
        <v>170</v>
      </c>
      <c r="E1052" s="96" t="s">
        <v>939</v>
      </c>
      <c r="F1052" s="101">
        <v>15.94</v>
      </c>
      <c r="G1052" s="103"/>
      <c r="H1052" s="104"/>
      <c r="I1052" s="101">
        <v>14.92</v>
      </c>
      <c r="J1052" s="99">
        <f>Table336789101112131415[[#This Row],[Sched C/ County/ State]]-Table336789101112131415[[#This Row],[2025 Rate]]</f>
        <v>1.02</v>
      </c>
    </row>
    <row r="1053" spans="1:10" ht="30" x14ac:dyDescent="0.2">
      <c r="A1053" s="93">
        <v>5018</v>
      </c>
      <c r="B1053" s="96" t="s">
        <v>351</v>
      </c>
      <c r="C1053" s="95">
        <v>2007</v>
      </c>
      <c r="D1053" s="96" t="s">
        <v>170</v>
      </c>
      <c r="E1053" s="96" t="s">
        <v>940</v>
      </c>
      <c r="F1053" s="101">
        <v>15.94</v>
      </c>
      <c r="G1053" s="103"/>
      <c r="H1053" s="104"/>
      <c r="I1053" s="101">
        <v>14.92</v>
      </c>
      <c r="J1053" s="99">
        <f>Table336789101112131415[[#This Row],[Sched C/ County/ State]]-Table336789101112131415[[#This Row],[2025 Rate]]</f>
        <v>1.02</v>
      </c>
    </row>
    <row r="1054" spans="1:10" ht="30" x14ac:dyDescent="0.2">
      <c r="A1054" s="93">
        <v>5019</v>
      </c>
      <c r="B1054" s="96" t="s">
        <v>351</v>
      </c>
      <c r="C1054" s="95">
        <v>2007</v>
      </c>
      <c r="D1054" s="96" t="s">
        <v>170</v>
      </c>
      <c r="E1054" s="96" t="s">
        <v>941</v>
      </c>
      <c r="F1054" s="101">
        <v>15.94</v>
      </c>
      <c r="G1054" s="103"/>
      <c r="H1054" s="104"/>
      <c r="I1054" s="101">
        <v>14.92</v>
      </c>
      <c r="J1054" s="99">
        <f>Table336789101112131415[[#This Row],[Sched C/ County/ State]]-Table336789101112131415[[#This Row],[2025 Rate]]</f>
        <v>1.02</v>
      </c>
    </row>
    <row r="1055" spans="1:10" ht="30" x14ac:dyDescent="0.2">
      <c r="A1055" s="93">
        <v>5020</v>
      </c>
      <c r="B1055" s="96" t="s">
        <v>351</v>
      </c>
      <c r="C1055" s="95">
        <v>2007</v>
      </c>
      <c r="D1055" s="96" t="s">
        <v>170</v>
      </c>
      <c r="E1055" s="96" t="s">
        <v>364</v>
      </c>
      <c r="F1055" s="101">
        <v>15.94</v>
      </c>
      <c r="G1055" s="103"/>
      <c r="H1055" s="104"/>
      <c r="I1055" s="101">
        <v>14.92</v>
      </c>
      <c r="J1055" s="99">
        <f>Table336789101112131415[[#This Row],[Sched C/ County/ State]]-Table336789101112131415[[#This Row],[2025 Rate]]</f>
        <v>1.02</v>
      </c>
    </row>
    <row r="1056" spans="1:10" ht="30" x14ac:dyDescent="0.2">
      <c r="A1056" s="93">
        <v>5021</v>
      </c>
      <c r="B1056" s="96" t="s">
        <v>351</v>
      </c>
      <c r="C1056" s="95">
        <v>2007</v>
      </c>
      <c r="D1056" s="96" t="s">
        <v>170</v>
      </c>
      <c r="E1056" s="96" t="s">
        <v>364</v>
      </c>
      <c r="F1056" s="101">
        <v>15.94</v>
      </c>
      <c r="G1056" s="103"/>
      <c r="H1056" s="104"/>
      <c r="I1056" s="101">
        <v>14.92</v>
      </c>
      <c r="J1056" s="99">
        <f>Table336789101112131415[[#This Row],[Sched C/ County/ State]]-Table336789101112131415[[#This Row],[2025 Rate]]</f>
        <v>1.02</v>
      </c>
    </row>
    <row r="1057" spans="1:10" ht="30" x14ac:dyDescent="0.2">
      <c r="A1057" s="93">
        <v>5022</v>
      </c>
      <c r="B1057" s="96" t="s">
        <v>351</v>
      </c>
      <c r="C1057" s="95">
        <v>2007</v>
      </c>
      <c r="D1057" s="96" t="s">
        <v>170</v>
      </c>
      <c r="E1057" s="96" t="s">
        <v>364</v>
      </c>
      <c r="F1057" s="101">
        <v>15.94</v>
      </c>
      <c r="G1057" s="103"/>
      <c r="H1057" s="104"/>
      <c r="I1057" s="101">
        <v>14.92</v>
      </c>
      <c r="J1057" s="99">
        <f>Table336789101112131415[[#This Row],[Sched C/ County/ State]]-Table336789101112131415[[#This Row],[2025 Rate]]</f>
        <v>1.02</v>
      </c>
    </row>
    <row r="1058" spans="1:10" ht="30" x14ac:dyDescent="0.2">
      <c r="A1058" s="93">
        <v>5023</v>
      </c>
      <c r="B1058" s="96" t="s">
        <v>351</v>
      </c>
      <c r="C1058" s="95">
        <v>2007</v>
      </c>
      <c r="D1058" s="96" t="s">
        <v>170</v>
      </c>
      <c r="E1058" s="96" t="s">
        <v>364</v>
      </c>
      <c r="F1058" s="101">
        <v>15.94</v>
      </c>
      <c r="G1058" s="103"/>
      <c r="H1058" s="104"/>
      <c r="I1058" s="101">
        <v>14.92</v>
      </c>
      <c r="J1058" s="99">
        <f>Table336789101112131415[[#This Row],[Sched C/ County/ State]]-Table336789101112131415[[#This Row],[2025 Rate]]</f>
        <v>1.02</v>
      </c>
    </row>
    <row r="1059" spans="1:10" ht="30" x14ac:dyDescent="0.2">
      <c r="A1059" s="93">
        <v>5024</v>
      </c>
      <c r="B1059" s="96" t="s">
        <v>351</v>
      </c>
      <c r="C1059" s="95">
        <v>2007</v>
      </c>
      <c r="D1059" s="96" t="s">
        <v>170</v>
      </c>
      <c r="E1059" s="96" t="s">
        <v>931</v>
      </c>
      <c r="F1059" s="101">
        <v>15.94</v>
      </c>
      <c r="G1059" s="103"/>
      <c r="H1059" s="104"/>
      <c r="I1059" s="101">
        <v>14.92</v>
      </c>
      <c r="J1059" s="99">
        <f>Table336789101112131415[[#This Row],[Sched C/ County/ State]]-Table336789101112131415[[#This Row],[2025 Rate]]</f>
        <v>1.02</v>
      </c>
    </row>
    <row r="1060" spans="1:10" x14ac:dyDescent="0.2">
      <c r="A1060" s="93">
        <v>5025</v>
      </c>
      <c r="B1060" s="96" t="s">
        <v>351</v>
      </c>
      <c r="C1060" s="95">
        <v>2008</v>
      </c>
      <c r="D1060" s="96" t="s">
        <v>170</v>
      </c>
      <c r="F1060" s="101">
        <v>15.94</v>
      </c>
      <c r="G1060" s="103"/>
      <c r="H1060" s="104"/>
      <c r="I1060" s="101">
        <v>14.92</v>
      </c>
      <c r="J1060" s="99">
        <f>Table336789101112131415[[#This Row],[Sched C/ County/ State]]-Table336789101112131415[[#This Row],[2025 Rate]]</f>
        <v>1.02</v>
      </c>
    </row>
    <row r="1061" spans="1:10" x14ac:dyDescent="0.2">
      <c r="A1061" s="93">
        <v>5026</v>
      </c>
      <c r="B1061" s="96" t="s">
        <v>351</v>
      </c>
      <c r="C1061" s="95">
        <v>2008</v>
      </c>
      <c r="D1061" s="96" t="s">
        <v>170</v>
      </c>
      <c r="E1061" s="96" t="s">
        <v>942</v>
      </c>
      <c r="F1061" s="101">
        <v>15.94</v>
      </c>
      <c r="G1061" s="103"/>
      <c r="H1061" s="104"/>
      <c r="I1061" s="101">
        <v>14.92</v>
      </c>
      <c r="J1061" s="99">
        <f>Table336789101112131415[[#This Row],[Sched C/ County/ State]]-Table336789101112131415[[#This Row],[2025 Rate]]</f>
        <v>1.02</v>
      </c>
    </row>
    <row r="1062" spans="1:10" x14ac:dyDescent="0.2">
      <c r="A1062" s="93">
        <v>5027</v>
      </c>
      <c r="B1062" s="96" t="s">
        <v>351</v>
      </c>
      <c r="C1062" s="95">
        <v>2008</v>
      </c>
      <c r="D1062" s="96" t="s">
        <v>930</v>
      </c>
      <c r="F1062" s="101">
        <v>15.94</v>
      </c>
      <c r="G1062" s="103"/>
      <c r="H1062" s="104"/>
      <c r="I1062" s="101">
        <v>14.92</v>
      </c>
      <c r="J1062" s="99">
        <f>Table336789101112131415[[#This Row],[Sched C/ County/ State]]-Table336789101112131415[[#This Row],[2025 Rate]]</f>
        <v>1.02</v>
      </c>
    </row>
    <row r="1063" spans="1:10" x14ac:dyDescent="0.2">
      <c r="A1063" s="93">
        <v>5028</v>
      </c>
      <c r="B1063" s="96" t="s">
        <v>351</v>
      </c>
      <c r="C1063" s="95">
        <v>2008</v>
      </c>
      <c r="D1063" s="96" t="s">
        <v>930</v>
      </c>
      <c r="F1063" s="101">
        <v>15.94</v>
      </c>
      <c r="G1063" s="103"/>
      <c r="H1063" s="104"/>
      <c r="I1063" s="101">
        <v>14.92</v>
      </c>
      <c r="J1063" s="99">
        <f>Table336789101112131415[[#This Row],[Sched C/ County/ State]]-Table336789101112131415[[#This Row],[2025 Rate]]</f>
        <v>1.02</v>
      </c>
    </row>
    <row r="1064" spans="1:10" x14ac:dyDescent="0.2">
      <c r="A1064" s="93">
        <v>5029</v>
      </c>
      <c r="B1064" s="96" t="s">
        <v>351</v>
      </c>
      <c r="C1064" s="95">
        <v>2000</v>
      </c>
      <c r="D1064" s="96" t="s">
        <v>922</v>
      </c>
      <c r="F1064" s="101">
        <v>15.94</v>
      </c>
      <c r="G1064" s="103"/>
      <c r="H1064" s="104"/>
      <c r="I1064" s="101">
        <v>14.92</v>
      </c>
      <c r="J1064" s="99">
        <f>Table336789101112131415[[#This Row],[Sched C/ County/ State]]-Table336789101112131415[[#This Row],[2025 Rate]]</f>
        <v>1.02</v>
      </c>
    </row>
    <row r="1065" spans="1:10" x14ac:dyDescent="0.2">
      <c r="A1065" s="93">
        <v>5030</v>
      </c>
      <c r="B1065" s="96" t="s">
        <v>351</v>
      </c>
      <c r="C1065" s="95">
        <v>2008</v>
      </c>
      <c r="D1065" s="96" t="s">
        <v>170</v>
      </c>
      <c r="F1065" s="101">
        <v>15.94</v>
      </c>
      <c r="G1065" s="103"/>
      <c r="H1065" s="104"/>
      <c r="I1065" s="101">
        <v>14.92</v>
      </c>
      <c r="J1065" s="99">
        <f>Table336789101112131415[[#This Row],[Sched C/ County/ State]]-Table336789101112131415[[#This Row],[2025 Rate]]</f>
        <v>1.02</v>
      </c>
    </row>
    <row r="1066" spans="1:10" x14ac:dyDescent="0.2">
      <c r="A1066" s="93">
        <v>5031</v>
      </c>
      <c r="B1066" s="96" t="s">
        <v>351</v>
      </c>
      <c r="C1066" s="95">
        <v>2008</v>
      </c>
      <c r="D1066" s="96" t="s">
        <v>170</v>
      </c>
      <c r="F1066" s="101">
        <v>15.94</v>
      </c>
      <c r="G1066" s="103"/>
      <c r="H1066" s="104"/>
      <c r="I1066" s="101">
        <v>14.92</v>
      </c>
      <c r="J1066" s="99">
        <f>Table336789101112131415[[#This Row],[Sched C/ County/ State]]-Table336789101112131415[[#This Row],[2025 Rate]]</f>
        <v>1.02</v>
      </c>
    </row>
    <row r="1067" spans="1:10" x14ac:dyDescent="0.2">
      <c r="A1067" s="93">
        <v>5036</v>
      </c>
      <c r="B1067" s="94" t="s">
        <v>943</v>
      </c>
      <c r="C1067" s="95"/>
      <c r="D1067" s="96" t="s">
        <v>170</v>
      </c>
      <c r="E1067" s="96">
        <v>181637</v>
      </c>
      <c r="F1067" s="101">
        <v>13.06</v>
      </c>
      <c r="G1067" s="103"/>
      <c r="H1067" s="104"/>
      <c r="I1067" s="101">
        <v>12.22</v>
      </c>
      <c r="J1067" s="99">
        <f>Table336789101112131415[[#This Row],[Sched C/ County/ State]]-Table336789101112131415[[#This Row],[2025 Rate]]</f>
        <v>0.84</v>
      </c>
    </row>
    <row r="1068" spans="1:10" x14ac:dyDescent="0.2">
      <c r="A1068" s="93">
        <v>5042</v>
      </c>
      <c r="B1068" s="96" t="s">
        <v>362</v>
      </c>
      <c r="C1068" s="95">
        <v>2010</v>
      </c>
      <c r="D1068" s="96" t="s">
        <v>170</v>
      </c>
      <c r="E1068" s="96" t="s">
        <v>944</v>
      </c>
      <c r="F1068" s="101">
        <v>13.06</v>
      </c>
      <c r="G1068" s="103"/>
      <c r="H1068" s="104"/>
      <c r="I1068" s="101">
        <v>12.22</v>
      </c>
      <c r="J1068" s="99">
        <f>Table336789101112131415[[#This Row],[Sched C/ County/ State]]-Table336789101112131415[[#This Row],[2025 Rate]]</f>
        <v>0.84</v>
      </c>
    </row>
    <row r="1069" spans="1:10" x14ac:dyDescent="0.2">
      <c r="A1069" s="93">
        <v>5043</v>
      </c>
      <c r="B1069" s="96" t="s">
        <v>362</v>
      </c>
      <c r="C1069" s="95">
        <v>2010</v>
      </c>
      <c r="D1069" s="96" t="s">
        <v>170</v>
      </c>
      <c r="E1069" s="96" t="s">
        <v>945</v>
      </c>
      <c r="F1069" s="101">
        <v>13.06</v>
      </c>
      <c r="G1069" s="103"/>
      <c r="H1069" s="104"/>
      <c r="I1069" s="101">
        <v>12.22</v>
      </c>
      <c r="J1069" s="99">
        <f>Table336789101112131415[[#This Row],[Sched C/ County/ State]]-Table336789101112131415[[#This Row],[2025 Rate]]</f>
        <v>0.84</v>
      </c>
    </row>
    <row r="1070" spans="1:10" x14ac:dyDescent="0.2">
      <c r="A1070" s="93">
        <v>5044</v>
      </c>
      <c r="B1070" s="96" t="s">
        <v>362</v>
      </c>
      <c r="C1070" s="95">
        <v>2010</v>
      </c>
      <c r="D1070" s="96" t="s">
        <v>170</v>
      </c>
      <c r="E1070" s="96" t="s">
        <v>946</v>
      </c>
      <c r="F1070" s="101">
        <v>13.06</v>
      </c>
      <c r="G1070" s="103"/>
      <c r="H1070" s="104"/>
      <c r="I1070" s="101">
        <v>12.22</v>
      </c>
      <c r="J1070" s="99">
        <f>Table336789101112131415[[#This Row],[Sched C/ County/ State]]-Table336789101112131415[[#This Row],[2025 Rate]]</f>
        <v>0.84</v>
      </c>
    </row>
    <row r="1071" spans="1:10" x14ac:dyDescent="0.2">
      <c r="A1071" s="93">
        <v>5045</v>
      </c>
      <c r="B1071" s="96" t="s">
        <v>362</v>
      </c>
      <c r="C1071" s="95">
        <v>2010</v>
      </c>
      <c r="D1071" s="96" t="s">
        <v>170</v>
      </c>
      <c r="E1071" s="96" t="s">
        <v>945</v>
      </c>
      <c r="F1071" s="101">
        <v>13.06</v>
      </c>
      <c r="G1071" s="103"/>
      <c r="H1071" s="104"/>
      <c r="I1071" s="101">
        <v>12.22</v>
      </c>
      <c r="J1071" s="99">
        <f>Table336789101112131415[[#This Row],[Sched C/ County/ State]]-Table336789101112131415[[#This Row],[2025 Rate]]</f>
        <v>0.84</v>
      </c>
    </row>
    <row r="1072" spans="1:10" x14ac:dyDescent="0.2">
      <c r="A1072" s="93">
        <v>5046</v>
      </c>
      <c r="B1072" s="96" t="s">
        <v>362</v>
      </c>
      <c r="C1072" s="95">
        <v>2010</v>
      </c>
      <c r="D1072" s="96" t="s">
        <v>170</v>
      </c>
      <c r="E1072" s="96" t="s">
        <v>946</v>
      </c>
      <c r="F1072" s="101">
        <v>13.06</v>
      </c>
      <c r="G1072" s="103"/>
      <c r="H1072" s="104"/>
      <c r="I1072" s="101">
        <v>12.22</v>
      </c>
      <c r="J1072" s="99">
        <f>Table336789101112131415[[#This Row],[Sched C/ County/ State]]-Table336789101112131415[[#This Row],[2025 Rate]]</f>
        <v>0.84</v>
      </c>
    </row>
    <row r="1073" spans="1:10" x14ac:dyDescent="0.2">
      <c r="A1073" s="93">
        <v>5048</v>
      </c>
      <c r="B1073" s="96" t="s">
        <v>362</v>
      </c>
      <c r="C1073" s="95">
        <v>2012</v>
      </c>
      <c r="D1073" s="96" t="s">
        <v>170</v>
      </c>
      <c r="E1073" s="96" t="s">
        <v>947</v>
      </c>
      <c r="F1073" s="101">
        <v>13.06</v>
      </c>
      <c r="G1073" s="103"/>
      <c r="H1073" s="104"/>
      <c r="I1073" s="101">
        <v>12.22</v>
      </c>
      <c r="J1073" s="99">
        <f>Table336789101112131415[[#This Row],[Sched C/ County/ State]]-Table336789101112131415[[#This Row],[2025 Rate]]</f>
        <v>0.84</v>
      </c>
    </row>
    <row r="1074" spans="1:10" x14ac:dyDescent="0.2">
      <c r="A1074" s="93">
        <v>5049</v>
      </c>
      <c r="B1074" s="96" t="s">
        <v>362</v>
      </c>
      <c r="C1074" s="95">
        <v>2012</v>
      </c>
      <c r="D1074" s="96" t="s">
        <v>170</v>
      </c>
      <c r="E1074" s="96" t="s">
        <v>946</v>
      </c>
      <c r="F1074" s="101">
        <v>13.06</v>
      </c>
      <c r="G1074" s="103"/>
      <c r="H1074" s="104"/>
      <c r="I1074" s="101">
        <v>12.22</v>
      </c>
      <c r="J1074" s="99">
        <f>Table336789101112131415[[#This Row],[Sched C/ County/ State]]-Table336789101112131415[[#This Row],[2025 Rate]]</f>
        <v>0.84</v>
      </c>
    </row>
    <row r="1075" spans="1:10" x14ac:dyDescent="0.2">
      <c r="A1075" s="93">
        <v>5050</v>
      </c>
      <c r="B1075" s="96" t="s">
        <v>362</v>
      </c>
      <c r="C1075" s="95">
        <v>2012</v>
      </c>
      <c r="D1075" s="96" t="s">
        <v>170</v>
      </c>
      <c r="E1075" s="96" t="s">
        <v>946</v>
      </c>
      <c r="F1075" s="101">
        <v>13.06</v>
      </c>
      <c r="G1075" s="103"/>
      <c r="H1075" s="104"/>
      <c r="I1075" s="101">
        <v>12.22</v>
      </c>
      <c r="J1075" s="99">
        <f>Table336789101112131415[[#This Row],[Sched C/ County/ State]]-Table336789101112131415[[#This Row],[2025 Rate]]</f>
        <v>0.84</v>
      </c>
    </row>
    <row r="1076" spans="1:10" x14ac:dyDescent="0.2">
      <c r="A1076" s="93">
        <v>5054</v>
      </c>
      <c r="B1076" s="96" t="s">
        <v>362</v>
      </c>
      <c r="C1076" s="95">
        <v>2012</v>
      </c>
      <c r="D1076" s="96" t="s">
        <v>170</v>
      </c>
      <c r="E1076" s="96" t="s">
        <v>946</v>
      </c>
      <c r="F1076" s="101">
        <v>13.06</v>
      </c>
      <c r="G1076" s="103"/>
      <c r="H1076" s="104"/>
      <c r="I1076" s="101">
        <v>12.22</v>
      </c>
      <c r="J1076" s="99">
        <f>Table336789101112131415[[#This Row],[Sched C/ County/ State]]-Table336789101112131415[[#This Row],[2025 Rate]]</f>
        <v>0.84</v>
      </c>
    </row>
    <row r="1077" spans="1:10" x14ac:dyDescent="0.2">
      <c r="A1077" s="93">
        <v>5055</v>
      </c>
      <c r="B1077" s="96" t="s">
        <v>362</v>
      </c>
      <c r="C1077" s="95">
        <v>2013</v>
      </c>
      <c r="D1077" s="96" t="s">
        <v>170</v>
      </c>
      <c r="E1077" s="96" t="s">
        <v>946</v>
      </c>
      <c r="F1077" s="101">
        <v>13.06</v>
      </c>
      <c r="G1077" s="103"/>
      <c r="H1077" s="104"/>
      <c r="I1077" s="101">
        <v>12.22</v>
      </c>
      <c r="J1077" s="99">
        <f>Table336789101112131415[[#This Row],[Sched C/ County/ State]]-Table336789101112131415[[#This Row],[2025 Rate]]</f>
        <v>0.84</v>
      </c>
    </row>
    <row r="1078" spans="1:10" x14ac:dyDescent="0.2">
      <c r="A1078" s="93">
        <v>5056</v>
      </c>
      <c r="B1078" s="96" t="s">
        <v>362</v>
      </c>
      <c r="C1078" s="95">
        <v>2012</v>
      </c>
      <c r="D1078" s="96" t="s">
        <v>170</v>
      </c>
      <c r="E1078" s="96" t="s">
        <v>948</v>
      </c>
      <c r="F1078" s="101">
        <v>13.06</v>
      </c>
      <c r="G1078" s="103"/>
      <c r="H1078" s="104"/>
      <c r="I1078" s="101">
        <v>12.22</v>
      </c>
      <c r="J1078" s="99">
        <f>Table336789101112131415[[#This Row],[Sched C/ County/ State]]-Table336789101112131415[[#This Row],[2025 Rate]]</f>
        <v>0.84</v>
      </c>
    </row>
    <row r="1079" spans="1:10" x14ac:dyDescent="0.2">
      <c r="A1079" s="93">
        <v>5057</v>
      </c>
      <c r="B1079" s="96" t="s">
        <v>362</v>
      </c>
      <c r="C1079" s="95">
        <v>2014</v>
      </c>
      <c r="D1079" s="96" t="s">
        <v>170</v>
      </c>
      <c r="E1079" s="96" t="s">
        <v>948</v>
      </c>
      <c r="F1079" s="101">
        <v>13.06</v>
      </c>
      <c r="G1079" s="103"/>
      <c r="H1079" s="104"/>
      <c r="I1079" s="101">
        <v>12.22</v>
      </c>
      <c r="J1079" s="99">
        <f>Table336789101112131415[[#This Row],[Sched C/ County/ State]]-Table336789101112131415[[#This Row],[2025 Rate]]</f>
        <v>0.84</v>
      </c>
    </row>
    <row r="1080" spans="1:10" x14ac:dyDescent="0.2">
      <c r="A1080" s="93">
        <v>5058</v>
      </c>
      <c r="B1080" s="96" t="s">
        <v>362</v>
      </c>
      <c r="C1080" s="95">
        <v>2014</v>
      </c>
      <c r="D1080" s="96" t="s">
        <v>170</v>
      </c>
      <c r="E1080" s="96" t="s">
        <v>948</v>
      </c>
      <c r="F1080" s="101">
        <v>13.06</v>
      </c>
      <c r="G1080" s="103"/>
      <c r="H1080" s="104"/>
      <c r="I1080" s="101">
        <v>12.22</v>
      </c>
      <c r="J1080" s="99">
        <f>Table336789101112131415[[#This Row],[Sched C/ County/ State]]-Table336789101112131415[[#This Row],[2025 Rate]]</f>
        <v>0.84</v>
      </c>
    </row>
    <row r="1081" spans="1:10" x14ac:dyDescent="0.2">
      <c r="A1081" s="93">
        <v>5059</v>
      </c>
      <c r="B1081" s="96" t="s">
        <v>362</v>
      </c>
      <c r="C1081" s="95">
        <v>2014</v>
      </c>
      <c r="D1081" s="96" t="s">
        <v>170</v>
      </c>
      <c r="E1081" s="96" t="s">
        <v>948</v>
      </c>
      <c r="F1081" s="101">
        <v>13.06</v>
      </c>
      <c r="G1081" s="103"/>
      <c r="H1081" s="104"/>
      <c r="I1081" s="101">
        <v>12.22</v>
      </c>
      <c r="J1081" s="99">
        <f>Table336789101112131415[[#This Row],[Sched C/ County/ State]]-Table336789101112131415[[#This Row],[2025 Rate]]</f>
        <v>0.84</v>
      </c>
    </row>
    <row r="1082" spans="1:10" x14ac:dyDescent="0.2">
      <c r="A1082" s="93">
        <v>5060</v>
      </c>
      <c r="B1082" s="96" t="s">
        <v>362</v>
      </c>
      <c r="C1082" s="95">
        <v>2013</v>
      </c>
      <c r="D1082" s="96" t="s">
        <v>170</v>
      </c>
      <c r="F1082" s="101">
        <v>13.06</v>
      </c>
      <c r="G1082" s="103"/>
      <c r="H1082" s="104"/>
      <c r="I1082" s="101">
        <v>12.22</v>
      </c>
      <c r="J1082" s="99">
        <f>Table336789101112131415[[#This Row],[Sched C/ County/ State]]-Table336789101112131415[[#This Row],[2025 Rate]]</f>
        <v>0.84</v>
      </c>
    </row>
    <row r="1083" spans="1:10" x14ac:dyDescent="0.2">
      <c r="A1083" s="93">
        <v>5061</v>
      </c>
      <c r="B1083" s="96" t="s">
        <v>362</v>
      </c>
      <c r="C1083" s="95">
        <v>2014</v>
      </c>
      <c r="D1083" s="96" t="s">
        <v>170</v>
      </c>
      <c r="F1083" s="101">
        <v>13.06</v>
      </c>
      <c r="G1083" s="103"/>
      <c r="H1083" s="104"/>
      <c r="I1083" s="101">
        <v>12.22</v>
      </c>
      <c r="J1083" s="99">
        <f>Table336789101112131415[[#This Row],[Sched C/ County/ State]]-Table336789101112131415[[#This Row],[2025 Rate]]</f>
        <v>0.84</v>
      </c>
    </row>
    <row r="1084" spans="1:10" x14ac:dyDescent="0.2">
      <c r="A1084" s="93">
        <v>5062</v>
      </c>
      <c r="B1084" s="94" t="s">
        <v>362</v>
      </c>
      <c r="C1084" s="95">
        <v>2016</v>
      </c>
      <c r="D1084" s="96" t="s">
        <v>170</v>
      </c>
      <c r="F1084" s="101">
        <v>13.06</v>
      </c>
      <c r="G1084" s="103"/>
      <c r="H1084" s="104"/>
      <c r="I1084" s="101">
        <v>12.22</v>
      </c>
      <c r="J1084" s="99">
        <f>Table336789101112131415[[#This Row],[Sched C/ County/ State]]-Table336789101112131415[[#This Row],[2025 Rate]]</f>
        <v>0.84</v>
      </c>
    </row>
    <row r="1085" spans="1:10" x14ac:dyDescent="0.2">
      <c r="A1085" s="93">
        <v>5065</v>
      </c>
      <c r="B1085" s="94" t="s">
        <v>362</v>
      </c>
      <c r="C1085" s="95">
        <v>2016</v>
      </c>
      <c r="D1085" s="96" t="s">
        <v>170</v>
      </c>
      <c r="F1085" s="101">
        <v>13.06</v>
      </c>
      <c r="G1085" s="103"/>
      <c r="H1085" s="104"/>
      <c r="I1085" s="101">
        <v>12.22</v>
      </c>
      <c r="J1085" s="99">
        <f>Table336789101112131415[[#This Row],[Sched C/ County/ State]]-Table336789101112131415[[#This Row],[2025 Rate]]</f>
        <v>0.84</v>
      </c>
    </row>
    <row r="1086" spans="1:10" x14ac:dyDescent="0.2">
      <c r="A1086" s="93">
        <v>5066</v>
      </c>
      <c r="B1086" s="94" t="s">
        <v>362</v>
      </c>
      <c r="C1086" s="95">
        <v>2016</v>
      </c>
      <c r="D1086" s="96" t="s">
        <v>170</v>
      </c>
      <c r="F1086" s="101">
        <v>13.06</v>
      </c>
      <c r="G1086" s="103"/>
      <c r="H1086" s="104"/>
      <c r="I1086" s="101">
        <v>12.22</v>
      </c>
      <c r="J1086" s="99">
        <f>Table336789101112131415[[#This Row],[Sched C/ County/ State]]-Table336789101112131415[[#This Row],[2025 Rate]]</f>
        <v>0.84</v>
      </c>
    </row>
    <row r="1087" spans="1:10" x14ac:dyDescent="0.2">
      <c r="A1087" s="93">
        <v>5107</v>
      </c>
      <c r="B1087" s="94" t="s">
        <v>337</v>
      </c>
      <c r="C1087" s="95">
        <v>2019</v>
      </c>
      <c r="D1087" s="96" t="s">
        <v>289</v>
      </c>
      <c r="E1087" s="96" t="s">
        <v>949</v>
      </c>
      <c r="F1087" s="101">
        <v>15.94</v>
      </c>
      <c r="G1087" s="103"/>
      <c r="H1087" s="104"/>
      <c r="I1087" s="101">
        <v>14.92</v>
      </c>
      <c r="J1087" s="99">
        <f>Table336789101112131415[[#This Row],[Sched C/ County/ State]]-Table336789101112131415[[#This Row],[2025 Rate]]</f>
        <v>1.02</v>
      </c>
    </row>
    <row r="1088" spans="1:10" x14ac:dyDescent="0.2">
      <c r="A1088" s="93">
        <v>5131</v>
      </c>
      <c r="B1088" s="94" t="s">
        <v>950</v>
      </c>
      <c r="C1088" s="95">
        <v>2017</v>
      </c>
      <c r="D1088" s="96" t="s">
        <v>951</v>
      </c>
      <c r="E1088" s="96" t="s">
        <v>952</v>
      </c>
      <c r="F1088" s="101">
        <v>15.94</v>
      </c>
      <c r="G1088" s="103"/>
      <c r="H1088" s="104"/>
      <c r="I1088" s="101">
        <v>14.92</v>
      </c>
      <c r="J1088" s="99">
        <f>Table336789101112131415[[#This Row],[Sched C/ County/ State]]-Table336789101112131415[[#This Row],[2025 Rate]]</f>
        <v>1.02</v>
      </c>
    </row>
    <row r="1089" spans="1:10" x14ac:dyDescent="0.2">
      <c r="A1089" s="93">
        <v>5132</v>
      </c>
      <c r="B1089" s="94" t="s">
        <v>950</v>
      </c>
      <c r="C1089" s="95">
        <v>2017</v>
      </c>
      <c r="D1089" s="96" t="s">
        <v>951</v>
      </c>
      <c r="E1089" s="96" t="s">
        <v>952</v>
      </c>
      <c r="F1089" s="101">
        <v>15.94</v>
      </c>
      <c r="G1089" s="103"/>
      <c r="H1089" s="104"/>
      <c r="I1089" s="101">
        <v>14.92</v>
      </c>
      <c r="J1089" s="99">
        <f>Table336789101112131415[[#This Row],[Sched C/ County/ State]]-Table336789101112131415[[#This Row],[2025 Rate]]</f>
        <v>1.02</v>
      </c>
    </row>
    <row r="1090" spans="1:10" x14ac:dyDescent="0.2">
      <c r="A1090" s="93">
        <v>5133</v>
      </c>
      <c r="B1090" s="94" t="s">
        <v>950</v>
      </c>
      <c r="C1090" s="95">
        <v>2017</v>
      </c>
      <c r="D1090" s="96" t="s">
        <v>951</v>
      </c>
      <c r="E1090" s="96" t="s">
        <v>952</v>
      </c>
      <c r="F1090" s="101">
        <v>15.94</v>
      </c>
      <c r="G1090" s="103"/>
      <c r="H1090" s="104"/>
      <c r="I1090" s="101">
        <v>14.92</v>
      </c>
      <c r="J1090" s="99">
        <f>Table336789101112131415[[#This Row],[Sched C/ County/ State]]-Table336789101112131415[[#This Row],[2025 Rate]]</f>
        <v>1.02</v>
      </c>
    </row>
    <row r="1091" spans="1:10" x14ac:dyDescent="0.2">
      <c r="A1091" s="93">
        <v>5134</v>
      </c>
      <c r="B1091" s="94" t="s">
        <v>950</v>
      </c>
      <c r="C1091" s="95">
        <v>2016</v>
      </c>
      <c r="D1091" s="96" t="s">
        <v>951</v>
      </c>
      <c r="E1091" s="96" t="s">
        <v>952</v>
      </c>
      <c r="F1091" s="101">
        <v>15.94</v>
      </c>
      <c r="G1091" s="103"/>
      <c r="H1091" s="104"/>
      <c r="I1091" s="101">
        <v>14.92</v>
      </c>
      <c r="J1091" s="99">
        <f>Table336789101112131415[[#This Row],[Sched C/ County/ State]]-Table336789101112131415[[#This Row],[2025 Rate]]</f>
        <v>1.02</v>
      </c>
    </row>
    <row r="1092" spans="1:10" x14ac:dyDescent="0.2">
      <c r="A1092" s="93">
        <v>5136</v>
      </c>
      <c r="B1092" s="94" t="s">
        <v>950</v>
      </c>
      <c r="C1092" s="95">
        <v>2018</v>
      </c>
      <c r="D1092" s="96" t="s">
        <v>953</v>
      </c>
      <c r="E1092" s="96" t="s">
        <v>954</v>
      </c>
      <c r="F1092" s="101">
        <v>15.94</v>
      </c>
      <c r="G1092" s="103"/>
      <c r="H1092" s="104"/>
      <c r="I1092" s="101">
        <v>14.92</v>
      </c>
      <c r="J1092" s="99">
        <f>Table336789101112131415[[#This Row],[Sched C/ County/ State]]-Table336789101112131415[[#This Row],[2025 Rate]]</f>
        <v>1.02</v>
      </c>
    </row>
    <row r="1093" spans="1:10" x14ac:dyDescent="0.2">
      <c r="A1093" s="93">
        <v>5137</v>
      </c>
      <c r="B1093" s="94" t="s">
        <v>950</v>
      </c>
      <c r="C1093" s="95">
        <v>2018</v>
      </c>
      <c r="D1093" s="96" t="s">
        <v>953</v>
      </c>
      <c r="E1093" s="96" t="s">
        <v>954</v>
      </c>
      <c r="F1093" s="101">
        <v>15.94</v>
      </c>
      <c r="G1093" s="103"/>
      <c r="H1093" s="104"/>
      <c r="I1093" s="101">
        <v>14.92</v>
      </c>
      <c r="J1093" s="99">
        <f>Table336789101112131415[[#This Row],[Sched C/ County/ State]]-Table336789101112131415[[#This Row],[2025 Rate]]</f>
        <v>1.02</v>
      </c>
    </row>
    <row r="1094" spans="1:10" x14ac:dyDescent="0.2">
      <c r="A1094" s="93">
        <v>5138</v>
      </c>
      <c r="B1094" s="94" t="s">
        <v>950</v>
      </c>
      <c r="C1094" s="95">
        <v>2018</v>
      </c>
      <c r="D1094" s="96" t="s">
        <v>953</v>
      </c>
      <c r="E1094" s="96" t="s">
        <v>954</v>
      </c>
      <c r="F1094" s="101">
        <v>19.260000000000002</v>
      </c>
      <c r="G1094" s="103"/>
      <c r="H1094" s="104"/>
      <c r="I1094" s="101">
        <v>18.02</v>
      </c>
      <c r="J1094" s="99">
        <f>Table336789101112131415[[#This Row],[Sched C/ County/ State]]-Table336789101112131415[[#This Row],[2025 Rate]]</f>
        <v>1.24</v>
      </c>
    </row>
    <row r="1095" spans="1:10" x14ac:dyDescent="0.2">
      <c r="A1095" s="93">
        <v>5139</v>
      </c>
      <c r="B1095" s="94" t="s">
        <v>950</v>
      </c>
      <c r="C1095" s="95">
        <v>2019</v>
      </c>
      <c r="D1095" s="96" t="s">
        <v>953</v>
      </c>
      <c r="E1095" s="96" t="s">
        <v>954</v>
      </c>
      <c r="F1095" s="101">
        <v>15.94</v>
      </c>
      <c r="G1095" s="103"/>
      <c r="H1095" s="104"/>
      <c r="I1095" s="101">
        <v>14.92</v>
      </c>
      <c r="J1095" s="99">
        <f>Table336789101112131415[[#This Row],[Sched C/ County/ State]]-Table336789101112131415[[#This Row],[2025 Rate]]</f>
        <v>1.02</v>
      </c>
    </row>
    <row r="1096" spans="1:10" ht="30" x14ac:dyDescent="0.2">
      <c r="A1096" s="93">
        <v>5302</v>
      </c>
      <c r="B1096" s="94" t="s">
        <v>362</v>
      </c>
      <c r="C1096" s="95">
        <v>2019</v>
      </c>
      <c r="D1096" s="96" t="s">
        <v>170</v>
      </c>
      <c r="E1096" s="96" t="s">
        <v>955</v>
      </c>
      <c r="F1096" s="101">
        <v>13.06</v>
      </c>
      <c r="G1096" s="103"/>
      <c r="H1096" s="104"/>
      <c r="I1096" s="101">
        <v>12.22</v>
      </c>
      <c r="J1096" s="99">
        <f>Table336789101112131415[[#This Row],[Sched C/ County/ State]]-Table336789101112131415[[#This Row],[2025 Rate]]</f>
        <v>0.84</v>
      </c>
    </row>
    <row r="1097" spans="1:10" x14ac:dyDescent="0.2">
      <c r="A1097" s="93">
        <v>5303</v>
      </c>
      <c r="B1097" s="94" t="s">
        <v>362</v>
      </c>
      <c r="C1097" s="95">
        <v>2019</v>
      </c>
      <c r="D1097" s="96" t="s">
        <v>170</v>
      </c>
      <c r="E1097" s="96">
        <v>180984</v>
      </c>
      <c r="F1097" s="101">
        <v>13.06</v>
      </c>
      <c r="G1097" s="103"/>
      <c r="H1097" s="104"/>
      <c r="I1097" s="101">
        <v>12.22</v>
      </c>
      <c r="J1097" s="99">
        <f>Table336789101112131415[[#This Row],[Sched C/ County/ State]]-Table336789101112131415[[#This Row],[2025 Rate]]</f>
        <v>0.84</v>
      </c>
    </row>
    <row r="1098" spans="1:10" ht="30" x14ac:dyDescent="0.2">
      <c r="A1098" s="93">
        <v>5304</v>
      </c>
      <c r="B1098" s="94" t="s">
        <v>362</v>
      </c>
      <c r="C1098" s="95">
        <v>2019</v>
      </c>
      <c r="D1098" s="96" t="s">
        <v>956</v>
      </c>
      <c r="F1098" s="101">
        <v>13.06</v>
      </c>
      <c r="G1098" s="103"/>
      <c r="H1098" s="104">
        <v>0</v>
      </c>
      <c r="I1098" s="101">
        <v>12.22</v>
      </c>
      <c r="J1098" s="99">
        <f>Table336789101112131415[[#This Row],[Sched C/ County/ State]]-Table336789101112131415[[#This Row],[2025 Rate]]</f>
        <v>0.84</v>
      </c>
    </row>
    <row r="1099" spans="1:10" x14ac:dyDescent="0.2">
      <c r="A1099" s="93">
        <v>5307</v>
      </c>
      <c r="B1099" s="94" t="s">
        <v>362</v>
      </c>
      <c r="C1099" s="95"/>
      <c r="F1099" s="101">
        <v>13.06</v>
      </c>
      <c r="G1099" s="103"/>
      <c r="H1099" s="104"/>
      <c r="I1099" s="101">
        <v>12.22</v>
      </c>
      <c r="J1099" s="99">
        <f>Table336789101112131415[[#This Row],[Sched C/ County/ State]]-Table336789101112131415[[#This Row],[2025 Rate]]</f>
        <v>0.84</v>
      </c>
    </row>
    <row r="1100" spans="1:10" ht="30" x14ac:dyDescent="0.2">
      <c r="A1100" s="93">
        <v>5308</v>
      </c>
      <c r="B1100" s="94" t="s">
        <v>362</v>
      </c>
      <c r="C1100" s="95">
        <v>2019</v>
      </c>
      <c r="D1100" s="96" t="s">
        <v>956</v>
      </c>
      <c r="E1100" s="96" t="s">
        <v>957</v>
      </c>
      <c r="F1100" s="101">
        <v>13.06</v>
      </c>
      <c r="G1100" s="103"/>
      <c r="H1100" s="104"/>
      <c r="I1100" s="101">
        <v>12.22</v>
      </c>
      <c r="J1100" s="99">
        <f>Table336789101112131415[[#This Row],[Sched C/ County/ State]]-Table336789101112131415[[#This Row],[2025 Rate]]</f>
        <v>0.84</v>
      </c>
    </row>
    <row r="1101" spans="1:10" ht="30" x14ac:dyDescent="0.2">
      <c r="A1101" s="93">
        <v>5309</v>
      </c>
      <c r="B1101" s="94" t="s">
        <v>958</v>
      </c>
      <c r="C1101" s="95">
        <v>2019</v>
      </c>
      <c r="D1101" s="96" t="s">
        <v>170</v>
      </c>
      <c r="F1101" s="101">
        <v>13.06</v>
      </c>
      <c r="G1101" s="103"/>
      <c r="H1101" s="104"/>
      <c r="I1101" s="101">
        <v>12.22</v>
      </c>
      <c r="J1101" s="99">
        <f>Table336789101112131415[[#This Row],[Sched C/ County/ State]]-Table336789101112131415[[#This Row],[2025 Rate]]</f>
        <v>0.84</v>
      </c>
    </row>
    <row r="1102" spans="1:10" ht="30" x14ac:dyDescent="0.2">
      <c r="A1102" s="93">
        <v>5316</v>
      </c>
      <c r="B1102" s="94" t="s">
        <v>958</v>
      </c>
      <c r="C1102" s="95">
        <v>2020</v>
      </c>
      <c r="D1102" s="96" t="s">
        <v>170</v>
      </c>
      <c r="F1102" s="101">
        <v>13.06</v>
      </c>
      <c r="G1102" s="103"/>
      <c r="H1102" s="104"/>
      <c r="I1102" s="101">
        <v>12.22</v>
      </c>
      <c r="J1102" s="99">
        <f>Table336789101112131415[[#This Row],[Sched C/ County/ State]]-Table336789101112131415[[#This Row],[2025 Rate]]</f>
        <v>0.84</v>
      </c>
    </row>
    <row r="1103" spans="1:10" x14ac:dyDescent="0.2">
      <c r="A1103" s="93">
        <v>5321</v>
      </c>
      <c r="B1103" s="94" t="s">
        <v>943</v>
      </c>
      <c r="C1103" s="95">
        <v>2020</v>
      </c>
      <c r="D1103" s="96" t="s">
        <v>170</v>
      </c>
      <c r="F1103" s="101">
        <v>13.06</v>
      </c>
      <c r="G1103" s="103"/>
      <c r="H1103" s="104"/>
      <c r="I1103" s="101">
        <v>12.22</v>
      </c>
      <c r="J1103" s="99">
        <f>Table336789101112131415[[#This Row],[Sched C/ County/ State]]-Table336789101112131415[[#This Row],[2025 Rate]]</f>
        <v>0.84</v>
      </c>
    </row>
    <row r="1104" spans="1:10" x14ac:dyDescent="0.2">
      <c r="A1104" s="93">
        <v>5323</v>
      </c>
      <c r="B1104" s="94" t="s">
        <v>943</v>
      </c>
      <c r="C1104" s="95">
        <v>2020</v>
      </c>
      <c r="D1104" s="96" t="s">
        <v>170</v>
      </c>
      <c r="F1104" s="101">
        <v>13.06</v>
      </c>
      <c r="G1104" s="103"/>
      <c r="H1104" s="104"/>
      <c r="I1104" s="101">
        <v>12.22</v>
      </c>
      <c r="J1104" s="99">
        <f>Table336789101112131415[[#This Row],[Sched C/ County/ State]]-Table336789101112131415[[#This Row],[2025 Rate]]</f>
        <v>0.84</v>
      </c>
    </row>
    <row r="1105" spans="1:10" x14ac:dyDescent="0.2">
      <c r="A1105" s="93">
        <v>5502</v>
      </c>
      <c r="B1105" s="94" t="s">
        <v>902</v>
      </c>
      <c r="C1105" s="95">
        <v>2018</v>
      </c>
      <c r="D1105" s="96" t="s">
        <v>959</v>
      </c>
      <c r="E1105" s="96" t="s">
        <v>904</v>
      </c>
      <c r="F1105" s="101">
        <v>1.5</v>
      </c>
      <c r="G1105" s="103"/>
      <c r="H1105" s="104"/>
      <c r="I1105" s="101">
        <v>1.39</v>
      </c>
      <c r="J1105" s="99">
        <f>Table336789101112131415[[#This Row],[Sched C/ County/ State]]-Table336789101112131415[[#This Row],[2025 Rate]]</f>
        <v>0.11</v>
      </c>
    </row>
    <row r="1106" spans="1:10" x14ac:dyDescent="0.2">
      <c r="A1106" s="93">
        <v>5503</v>
      </c>
      <c r="B1106" s="94" t="s">
        <v>902</v>
      </c>
      <c r="C1106" s="95">
        <v>2018</v>
      </c>
      <c r="D1106" s="96" t="s">
        <v>959</v>
      </c>
      <c r="E1106" s="96" t="s">
        <v>904</v>
      </c>
      <c r="F1106" s="101">
        <v>1.5</v>
      </c>
      <c r="G1106" s="103"/>
      <c r="H1106" s="104"/>
      <c r="I1106" s="101">
        <v>1.39</v>
      </c>
      <c r="J1106" s="99">
        <f>Table336789101112131415[[#This Row],[Sched C/ County/ State]]-Table336789101112131415[[#This Row],[2025 Rate]]</f>
        <v>0.11</v>
      </c>
    </row>
    <row r="1107" spans="1:10" x14ac:dyDescent="0.2">
      <c r="A1107" s="93">
        <v>5504</v>
      </c>
      <c r="B1107" s="94" t="s">
        <v>902</v>
      </c>
      <c r="C1107" s="95">
        <v>2019</v>
      </c>
      <c r="D1107" s="96" t="s">
        <v>959</v>
      </c>
      <c r="F1107" s="101">
        <v>1.5</v>
      </c>
      <c r="G1107" s="103"/>
      <c r="H1107" s="104"/>
      <c r="I1107" s="101">
        <v>1.39</v>
      </c>
      <c r="J1107" s="99">
        <f>Table336789101112131415[[#This Row],[Sched C/ County/ State]]-Table336789101112131415[[#This Row],[2025 Rate]]</f>
        <v>0.11</v>
      </c>
    </row>
    <row r="1108" spans="1:10" x14ac:dyDescent="0.2">
      <c r="A1108" s="93">
        <v>5505</v>
      </c>
      <c r="B1108" s="94" t="s">
        <v>902</v>
      </c>
      <c r="C1108" s="95">
        <v>2019</v>
      </c>
      <c r="D1108" s="96" t="s">
        <v>959</v>
      </c>
      <c r="E1108" s="96" t="s">
        <v>904</v>
      </c>
      <c r="F1108" s="101">
        <v>1.5</v>
      </c>
      <c r="G1108" s="103"/>
      <c r="H1108" s="104"/>
      <c r="I1108" s="101">
        <v>1.39</v>
      </c>
      <c r="J1108" s="99">
        <f>Table336789101112131415[[#This Row],[Sched C/ County/ State]]-Table336789101112131415[[#This Row],[2025 Rate]]</f>
        <v>0.11</v>
      </c>
    </row>
    <row r="1109" spans="1:10" x14ac:dyDescent="0.2">
      <c r="A1109" s="93">
        <v>5506</v>
      </c>
      <c r="B1109" s="94" t="s">
        <v>902</v>
      </c>
      <c r="C1109" s="95">
        <v>2020</v>
      </c>
      <c r="D1109" s="96" t="s">
        <v>959</v>
      </c>
      <c r="E1109" s="96" t="s">
        <v>904</v>
      </c>
      <c r="F1109" s="101">
        <v>1.5</v>
      </c>
      <c r="G1109" s="103"/>
      <c r="H1109" s="104"/>
      <c r="I1109" s="101">
        <v>1.39</v>
      </c>
      <c r="J1109" s="99">
        <f>Table336789101112131415[[#This Row],[Sched C/ County/ State]]-Table336789101112131415[[#This Row],[2025 Rate]]</f>
        <v>0.11</v>
      </c>
    </row>
    <row r="1110" spans="1:10" x14ac:dyDescent="0.2">
      <c r="A1110" s="93">
        <v>5507</v>
      </c>
      <c r="B1110" s="94" t="s">
        <v>902</v>
      </c>
      <c r="C1110" s="95">
        <v>2019</v>
      </c>
      <c r="D1110" s="96" t="s">
        <v>959</v>
      </c>
      <c r="E1110" s="96" t="s">
        <v>904</v>
      </c>
      <c r="F1110" s="101">
        <v>1.5</v>
      </c>
      <c r="G1110" s="103"/>
      <c r="H1110" s="104"/>
      <c r="I1110" s="101">
        <v>1.39</v>
      </c>
      <c r="J1110" s="99">
        <f>Table336789101112131415[[#This Row],[Sched C/ County/ State]]-Table336789101112131415[[#This Row],[2025 Rate]]</f>
        <v>0.11</v>
      </c>
    </row>
    <row r="1111" spans="1:10" x14ac:dyDescent="0.2">
      <c r="A1111" s="93">
        <v>5508</v>
      </c>
      <c r="B1111" s="94" t="s">
        <v>902</v>
      </c>
      <c r="C1111" s="95">
        <v>2019</v>
      </c>
      <c r="D1111" s="96" t="s">
        <v>959</v>
      </c>
      <c r="F1111" s="101">
        <v>1.5</v>
      </c>
      <c r="G1111" s="103"/>
      <c r="H1111" s="104"/>
      <c r="I1111" s="101">
        <v>1.39</v>
      </c>
      <c r="J1111" s="99">
        <f>Table336789101112131415[[#This Row],[Sched C/ County/ State]]-Table336789101112131415[[#This Row],[2025 Rate]]</f>
        <v>0.11</v>
      </c>
    </row>
    <row r="1112" spans="1:10" x14ac:dyDescent="0.2">
      <c r="A1112" s="93">
        <v>5509</v>
      </c>
      <c r="B1112" s="94" t="s">
        <v>902</v>
      </c>
      <c r="C1112" s="95">
        <v>2019</v>
      </c>
      <c r="D1112" s="96" t="s">
        <v>959</v>
      </c>
      <c r="E1112" s="96" t="s">
        <v>904</v>
      </c>
      <c r="F1112" s="101">
        <v>1.5</v>
      </c>
      <c r="G1112" s="103"/>
      <c r="H1112" s="104"/>
      <c r="I1112" s="101">
        <v>1.39</v>
      </c>
      <c r="J1112" s="99">
        <f>Table336789101112131415[[#This Row],[Sched C/ County/ State]]-Table336789101112131415[[#This Row],[2025 Rate]]</f>
        <v>0.11</v>
      </c>
    </row>
    <row r="1113" spans="1:10" x14ac:dyDescent="0.2">
      <c r="A1113" s="93">
        <v>5511</v>
      </c>
      <c r="B1113" s="94" t="s">
        <v>902</v>
      </c>
      <c r="C1113" s="95">
        <v>2020</v>
      </c>
      <c r="D1113" s="96" t="s">
        <v>959</v>
      </c>
      <c r="E1113" s="96" t="s">
        <v>904</v>
      </c>
      <c r="F1113" s="101">
        <v>1.5</v>
      </c>
      <c r="G1113" s="103"/>
      <c r="H1113" s="104"/>
      <c r="I1113" s="101">
        <v>1.39</v>
      </c>
      <c r="J1113" s="99">
        <f>Table336789101112131415[[#This Row],[Sched C/ County/ State]]-Table336789101112131415[[#This Row],[2025 Rate]]</f>
        <v>0.11</v>
      </c>
    </row>
    <row r="1114" spans="1:10" x14ac:dyDescent="0.2">
      <c r="A1114" s="93">
        <v>5512</v>
      </c>
      <c r="B1114" s="94" t="s">
        <v>902</v>
      </c>
      <c r="C1114" s="95">
        <v>2020</v>
      </c>
      <c r="D1114" s="96" t="s">
        <v>959</v>
      </c>
      <c r="E1114" s="96" t="s">
        <v>904</v>
      </c>
      <c r="F1114" s="101">
        <v>1.5</v>
      </c>
      <c r="G1114" s="103"/>
      <c r="H1114" s="104"/>
      <c r="I1114" s="101">
        <v>1.39</v>
      </c>
      <c r="J1114" s="99">
        <f>Table336789101112131415[[#This Row],[Sched C/ County/ State]]-Table336789101112131415[[#This Row],[2025 Rate]]</f>
        <v>0.11</v>
      </c>
    </row>
    <row r="1115" spans="1:10" x14ac:dyDescent="0.2">
      <c r="A1115" s="93">
        <v>5513</v>
      </c>
      <c r="B1115" s="96" t="s">
        <v>902</v>
      </c>
      <c r="C1115" s="95">
        <v>2020</v>
      </c>
      <c r="D1115" s="96" t="s">
        <v>959</v>
      </c>
      <c r="E1115" s="96" t="s">
        <v>904</v>
      </c>
      <c r="F1115" s="101">
        <v>1.5</v>
      </c>
      <c r="G1115" s="103"/>
      <c r="H1115" s="104"/>
      <c r="I1115" s="101">
        <v>1.39</v>
      </c>
      <c r="J1115" s="99">
        <f>Table336789101112131415[[#This Row],[Sched C/ County/ State]]-Table336789101112131415[[#This Row],[2025 Rate]]</f>
        <v>0.11</v>
      </c>
    </row>
    <row r="1116" spans="1:10" x14ac:dyDescent="0.2">
      <c r="A1116" s="93">
        <v>5514</v>
      </c>
      <c r="B1116" s="94" t="s">
        <v>902</v>
      </c>
      <c r="C1116" s="95"/>
      <c r="D1116" s="96" t="s">
        <v>959</v>
      </c>
      <c r="E1116" s="96" t="s">
        <v>904</v>
      </c>
      <c r="F1116" s="101">
        <v>1.5</v>
      </c>
      <c r="G1116" s="105"/>
      <c r="H1116" s="104"/>
      <c r="I1116" s="101">
        <v>1.39</v>
      </c>
      <c r="J1116" s="99">
        <f>Table336789101112131415[[#This Row],[Sched C/ County/ State]]-Table336789101112131415[[#This Row],[2025 Rate]]</f>
        <v>0.11</v>
      </c>
    </row>
    <row r="1117" spans="1:10" x14ac:dyDescent="0.2">
      <c r="A1117" s="93">
        <v>5515</v>
      </c>
      <c r="B1117" s="94" t="s">
        <v>902</v>
      </c>
      <c r="C1117" s="95"/>
      <c r="D1117" s="96" t="s">
        <v>959</v>
      </c>
      <c r="E1117" s="96" t="s">
        <v>904</v>
      </c>
      <c r="F1117" s="101">
        <v>1.5</v>
      </c>
      <c r="G1117" s="105"/>
      <c r="H1117" s="104"/>
      <c r="I1117" s="101">
        <v>1.39</v>
      </c>
      <c r="J1117" s="99">
        <f>Table336789101112131415[[#This Row],[Sched C/ County/ State]]-Table336789101112131415[[#This Row],[2025 Rate]]</f>
        <v>0.11</v>
      </c>
    </row>
    <row r="1118" spans="1:10" x14ac:dyDescent="0.2">
      <c r="A1118" s="93">
        <v>5517</v>
      </c>
      <c r="B1118" s="96" t="s">
        <v>902</v>
      </c>
      <c r="C1118" s="95">
        <v>2012</v>
      </c>
      <c r="D1118" s="96" t="s">
        <v>903</v>
      </c>
      <c r="E1118" s="96" t="s">
        <v>904</v>
      </c>
      <c r="F1118" s="101">
        <v>1.5</v>
      </c>
      <c r="G1118" s="103"/>
      <c r="H1118" s="104"/>
      <c r="I1118" s="101">
        <v>1.39</v>
      </c>
      <c r="J1118" s="99">
        <f>Table336789101112131415[[#This Row],[Sched C/ County/ State]]-Table336789101112131415[[#This Row],[2025 Rate]]</f>
        <v>0.11</v>
      </c>
    </row>
    <row r="1119" spans="1:10" x14ac:dyDescent="0.2">
      <c r="A1119" s="93">
        <v>5518</v>
      </c>
      <c r="B1119" s="96" t="s">
        <v>902</v>
      </c>
      <c r="C1119" s="95">
        <v>2012</v>
      </c>
      <c r="D1119" s="96" t="s">
        <v>903</v>
      </c>
      <c r="E1119" s="96" t="s">
        <v>904</v>
      </c>
      <c r="F1119" s="101">
        <v>1.5</v>
      </c>
      <c r="G1119" s="103"/>
      <c r="H1119" s="104"/>
      <c r="I1119" s="101">
        <v>1.39</v>
      </c>
      <c r="J1119" s="99">
        <f>Table336789101112131415[[#This Row],[Sched C/ County/ State]]-Table336789101112131415[[#This Row],[2025 Rate]]</f>
        <v>0.11</v>
      </c>
    </row>
    <row r="1120" spans="1:10" x14ac:dyDescent="0.2">
      <c r="A1120" s="93">
        <v>5519</v>
      </c>
      <c r="B1120" s="96" t="s">
        <v>902</v>
      </c>
      <c r="C1120" s="95">
        <v>2012</v>
      </c>
      <c r="D1120" s="96" t="s">
        <v>903</v>
      </c>
      <c r="E1120" s="96" t="s">
        <v>904</v>
      </c>
      <c r="F1120" s="101">
        <v>1.5</v>
      </c>
      <c r="G1120" s="103"/>
      <c r="H1120" s="104"/>
      <c r="I1120" s="101">
        <v>1.39</v>
      </c>
      <c r="J1120" s="99">
        <f>Table336789101112131415[[#This Row],[Sched C/ County/ State]]-Table336789101112131415[[#This Row],[2025 Rate]]</f>
        <v>0.11</v>
      </c>
    </row>
    <row r="1121" spans="1:10" x14ac:dyDescent="0.2">
      <c r="A1121" s="93">
        <v>5520</v>
      </c>
      <c r="B1121" s="96" t="s">
        <v>902</v>
      </c>
      <c r="C1121" s="95">
        <v>2011</v>
      </c>
      <c r="D1121" s="96" t="s">
        <v>903</v>
      </c>
      <c r="E1121" s="96" t="s">
        <v>904</v>
      </c>
      <c r="F1121" s="101">
        <v>1.5</v>
      </c>
      <c r="G1121" s="103"/>
      <c r="H1121" s="104"/>
      <c r="I1121" s="101">
        <v>1.39</v>
      </c>
      <c r="J1121" s="99">
        <f>Table336789101112131415[[#This Row],[Sched C/ County/ State]]-Table336789101112131415[[#This Row],[2025 Rate]]</f>
        <v>0.11</v>
      </c>
    </row>
    <row r="1122" spans="1:10" x14ac:dyDescent="0.2">
      <c r="A1122" s="93">
        <v>5521</v>
      </c>
      <c r="B1122" s="96" t="s">
        <v>902</v>
      </c>
      <c r="C1122" s="95">
        <v>2012</v>
      </c>
      <c r="D1122" s="96" t="s">
        <v>903</v>
      </c>
      <c r="E1122" s="96" t="s">
        <v>904</v>
      </c>
      <c r="F1122" s="101">
        <v>1.5</v>
      </c>
      <c r="G1122" s="103"/>
      <c r="H1122" s="104"/>
      <c r="I1122" s="101">
        <v>1.39</v>
      </c>
      <c r="J1122" s="99">
        <f>Table336789101112131415[[#This Row],[Sched C/ County/ State]]-Table336789101112131415[[#This Row],[2025 Rate]]</f>
        <v>0.11</v>
      </c>
    </row>
    <row r="1123" spans="1:10" x14ac:dyDescent="0.2">
      <c r="A1123" s="93">
        <v>5522</v>
      </c>
      <c r="B1123" s="96" t="s">
        <v>902</v>
      </c>
      <c r="C1123" s="95">
        <v>2012</v>
      </c>
      <c r="D1123" s="96" t="s">
        <v>903</v>
      </c>
      <c r="E1123" s="96" t="s">
        <v>904</v>
      </c>
      <c r="F1123" s="101">
        <v>1.5</v>
      </c>
      <c r="G1123" s="103"/>
      <c r="H1123" s="104"/>
      <c r="I1123" s="101">
        <v>1.39</v>
      </c>
      <c r="J1123" s="99">
        <f>Table336789101112131415[[#This Row],[Sched C/ County/ State]]-Table336789101112131415[[#This Row],[2025 Rate]]</f>
        <v>0.11</v>
      </c>
    </row>
    <row r="1124" spans="1:10" x14ac:dyDescent="0.2">
      <c r="A1124" s="93">
        <v>5524</v>
      </c>
      <c r="B1124" s="96" t="s">
        <v>902</v>
      </c>
      <c r="C1124" s="95">
        <v>2012</v>
      </c>
      <c r="D1124" s="96" t="s">
        <v>903</v>
      </c>
      <c r="E1124" s="96" t="s">
        <v>904</v>
      </c>
      <c r="F1124" s="101">
        <v>1.5</v>
      </c>
      <c r="G1124" s="103"/>
      <c r="H1124" s="104"/>
      <c r="I1124" s="101">
        <v>1.39</v>
      </c>
      <c r="J1124" s="99">
        <f>Table336789101112131415[[#This Row],[Sched C/ County/ State]]-Table336789101112131415[[#This Row],[2025 Rate]]</f>
        <v>0.11</v>
      </c>
    </row>
    <row r="1125" spans="1:10" x14ac:dyDescent="0.2">
      <c r="A1125" s="93">
        <v>5525</v>
      </c>
      <c r="B1125" s="94" t="s">
        <v>902</v>
      </c>
      <c r="C1125" s="95">
        <v>2014</v>
      </c>
      <c r="D1125" s="96" t="s">
        <v>903</v>
      </c>
      <c r="E1125" s="96" t="s">
        <v>904</v>
      </c>
      <c r="F1125" s="101">
        <v>1.5</v>
      </c>
      <c r="G1125" s="103"/>
      <c r="H1125" s="104"/>
      <c r="I1125" s="101">
        <v>1.39</v>
      </c>
      <c r="J1125" s="99">
        <f>Table336789101112131415[[#This Row],[Sched C/ County/ State]]-Table336789101112131415[[#This Row],[2025 Rate]]</f>
        <v>0.11</v>
      </c>
    </row>
    <row r="1126" spans="1:10" x14ac:dyDescent="0.2">
      <c r="A1126" s="93">
        <v>5526</v>
      </c>
      <c r="B1126" s="94" t="s">
        <v>902</v>
      </c>
      <c r="C1126" s="95">
        <v>2018</v>
      </c>
      <c r="D1126" s="96" t="s">
        <v>959</v>
      </c>
      <c r="E1126" s="96" t="s">
        <v>904</v>
      </c>
      <c r="F1126" s="101">
        <v>1.5</v>
      </c>
      <c r="G1126" s="103"/>
      <c r="H1126" s="104"/>
      <c r="I1126" s="101">
        <v>1.39</v>
      </c>
      <c r="J1126" s="99">
        <f>Table336789101112131415[[#This Row],[Sched C/ County/ State]]-Table336789101112131415[[#This Row],[2025 Rate]]</f>
        <v>0.11</v>
      </c>
    </row>
    <row r="1127" spans="1:10" x14ac:dyDescent="0.2">
      <c r="A1127" s="93">
        <v>5527</v>
      </c>
      <c r="B1127" s="94" t="s">
        <v>902</v>
      </c>
      <c r="C1127" s="95">
        <v>2020</v>
      </c>
      <c r="D1127" s="96" t="s">
        <v>959</v>
      </c>
      <c r="E1127" s="96" t="s">
        <v>904</v>
      </c>
      <c r="F1127" s="101">
        <v>1.5</v>
      </c>
      <c r="G1127" s="105"/>
      <c r="H1127" s="104"/>
      <c r="I1127" s="101">
        <v>1.39</v>
      </c>
      <c r="J1127" s="99">
        <f>Table336789101112131415[[#This Row],[Sched C/ County/ State]]-Table336789101112131415[[#This Row],[2025 Rate]]</f>
        <v>0.11</v>
      </c>
    </row>
    <row r="1128" spans="1:10" x14ac:dyDescent="0.2">
      <c r="A1128" s="93">
        <v>5528</v>
      </c>
      <c r="B1128" s="94" t="s">
        <v>902</v>
      </c>
      <c r="C1128" s="95">
        <v>2020</v>
      </c>
      <c r="D1128" s="96" t="s">
        <v>959</v>
      </c>
      <c r="E1128" s="96" t="s">
        <v>904</v>
      </c>
      <c r="F1128" s="101">
        <v>1.5</v>
      </c>
      <c r="G1128" s="105"/>
      <c r="H1128" s="104"/>
      <c r="I1128" s="101">
        <v>1.39</v>
      </c>
      <c r="J1128" s="99">
        <f>Table336789101112131415[[#This Row],[Sched C/ County/ State]]-Table336789101112131415[[#This Row],[2025 Rate]]</f>
        <v>0.11</v>
      </c>
    </row>
    <row r="1129" spans="1:10" x14ac:dyDescent="0.2">
      <c r="A1129" s="93">
        <v>5529</v>
      </c>
      <c r="B1129" s="94" t="s">
        <v>902</v>
      </c>
      <c r="C1129" s="95">
        <v>2020</v>
      </c>
      <c r="D1129" s="96" t="s">
        <v>959</v>
      </c>
      <c r="E1129" s="96" t="s">
        <v>904</v>
      </c>
      <c r="F1129" s="101">
        <v>1.5</v>
      </c>
      <c r="G1129" s="105"/>
      <c r="H1129" s="104"/>
      <c r="I1129" s="101">
        <v>1.39</v>
      </c>
      <c r="J1129" s="99">
        <f>Table336789101112131415[[#This Row],[Sched C/ County/ State]]-Table336789101112131415[[#This Row],[2025 Rate]]</f>
        <v>0.11</v>
      </c>
    </row>
    <row r="1130" spans="1:10" x14ac:dyDescent="0.2">
      <c r="A1130" s="93">
        <v>5530</v>
      </c>
      <c r="B1130" s="94" t="s">
        <v>902</v>
      </c>
      <c r="C1130" s="95">
        <v>2020</v>
      </c>
      <c r="D1130" s="96" t="s">
        <v>959</v>
      </c>
      <c r="E1130" s="96" t="s">
        <v>904</v>
      </c>
      <c r="F1130" s="101">
        <v>1.5</v>
      </c>
      <c r="G1130" s="105"/>
      <c r="H1130" s="104"/>
      <c r="I1130" s="101">
        <v>1.39</v>
      </c>
      <c r="J1130" s="99">
        <f>Table336789101112131415[[#This Row],[Sched C/ County/ State]]-Table336789101112131415[[#This Row],[2025 Rate]]</f>
        <v>0.11</v>
      </c>
    </row>
    <row r="1131" spans="1:10" x14ac:dyDescent="0.2">
      <c r="A1131" s="93">
        <v>5531</v>
      </c>
      <c r="B1131" s="94" t="s">
        <v>902</v>
      </c>
      <c r="C1131" s="95">
        <v>2020</v>
      </c>
      <c r="D1131" s="96" t="s">
        <v>959</v>
      </c>
      <c r="E1131" s="96" t="s">
        <v>904</v>
      </c>
      <c r="F1131" s="101">
        <v>1.5</v>
      </c>
      <c r="G1131" s="105"/>
      <c r="H1131" s="104"/>
      <c r="I1131" s="101">
        <v>1.39</v>
      </c>
      <c r="J1131" s="99">
        <f>Table336789101112131415[[#This Row],[Sched C/ County/ State]]-Table336789101112131415[[#This Row],[2025 Rate]]</f>
        <v>0.11</v>
      </c>
    </row>
    <row r="1132" spans="1:10" x14ac:dyDescent="0.2">
      <c r="A1132" s="93">
        <v>5532</v>
      </c>
      <c r="B1132" s="94" t="s">
        <v>902</v>
      </c>
      <c r="C1132" s="95">
        <v>2020</v>
      </c>
      <c r="D1132" s="96" t="s">
        <v>959</v>
      </c>
      <c r="E1132" s="96" t="s">
        <v>904</v>
      </c>
      <c r="F1132" s="101">
        <v>1.5</v>
      </c>
      <c r="G1132" s="105"/>
      <c r="H1132" s="104"/>
      <c r="I1132" s="101">
        <v>1.39</v>
      </c>
      <c r="J1132" s="99">
        <f>Table336789101112131415[[#This Row],[Sched C/ County/ State]]-Table336789101112131415[[#This Row],[2025 Rate]]</f>
        <v>0.11</v>
      </c>
    </row>
    <row r="1133" spans="1:10" x14ac:dyDescent="0.2">
      <c r="A1133" s="93">
        <v>5533</v>
      </c>
      <c r="B1133" s="94" t="s">
        <v>902</v>
      </c>
      <c r="C1133" s="95">
        <v>2020</v>
      </c>
      <c r="D1133" s="96" t="s">
        <v>959</v>
      </c>
      <c r="E1133" s="96" t="s">
        <v>904</v>
      </c>
      <c r="F1133" s="101">
        <v>1.5</v>
      </c>
      <c r="G1133" s="105"/>
      <c r="H1133" s="104"/>
      <c r="I1133" s="101">
        <v>1.39</v>
      </c>
      <c r="J1133" s="99">
        <f>Table336789101112131415[[#This Row],[Sched C/ County/ State]]-Table336789101112131415[[#This Row],[2025 Rate]]</f>
        <v>0.11</v>
      </c>
    </row>
    <row r="1134" spans="1:10" x14ac:dyDescent="0.2">
      <c r="A1134" s="93">
        <v>5534</v>
      </c>
      <c r="B1134" s="94" t="s">
        <v>902</v>
      </c>
      <c r="C1134" s="95">
        <v>2021</v>
      </c>
      <c r="D1134" s="96" t="s">
        <v>959</v>
      </c>
      <c r="E1134" s="96" t="s">
        <v>904</v>
      </c>
      <c r="F1134" s="101">
        <v>1.5</v>
      </c>
      <c r="G1134" s="105"/>
      <c r="H1134" s="104"/>
      <c r="I1134" s="101">
        <v>1.39</v>
      </c>
      <c r="J1134" s="99">
        <f>Table336789101112131415[[#This Row],[Sched C/ County/ State]]-Table336789101112131415[[#This Row],[2025 Rate]]</f>
        <v>0.11</v>
      </c>
    </row>
    <row r="1135" spans="1:10" x14ac:dyDescent="0.2">
      <c r="A1135" s="93">
        <v>5535</v>
      </c>
      <c r="B1135" s="94" t="s">
        <v>902</v>
      </c>
      <c r="C1135" s="95">
        <v>2019</v>
      </c>
      <c r="D1135" s="96" t="s">
        <v>959</v>
      </c>
      <c r="E1135" s="96" t="s">
        <v>904</v>
      </c>
      <c r="F1135" s="101">
        <v>1.5</v>
      </c>
      <c r="G1135" s="103"/>
      <c r="H1135" s="104"/>
      <c r="I1135" s="101">
        <v>1.39</v>
      </c>
      <c r="J1135" s="99">
        <f>Table336789101112131415[[#This Row],[Sched C/ County/ State]]-Table336789101112131415[[#This Row],[2025 Rate]]</f>
        <v>0.11</v>
      </c>
    </row>
    <row r="1136" spans="1:10" x14ac:dyDescent="0.2">
      <c r="A1136" s="93">
        <v>5536</v>
      </c>
      <c r="B1136" s="94" t="s">
        <v>902</v>
      </c>
      <c r="C1136" s="95">
        <v>2021</v>
      </c>
      <c r="D1136" s="96" t="s">
        <v>959</v>
      </c>
      <c r="E1136" s="96" t="s">
        <v>904</v>
      </c>
      <c r="F1136" s="101">
        <v>1.5</v>
      </c>
      <c r="G1136" s="105"/>
      <c r="H1136" s="104"/>
      <c r="I1136" s="101">
        <v>1.39</v>
      </c>
      <c r="J1136" s="99">
        <f>Table336789101112131415[[#This Row],[Sched C/ County/ State]]-Table336789101112131415[[#This Row],[2025 Rate]]</f>
        <v>0.11</v>
      </c>
    </row>
    <row r="1137" spans="1:10" x14ac:dyDescent="0.2">
      <c r="A1137" s="93">
        <v>5537</v>
      </c>
      <c r="B1137" s="94" t="s">
        <v>902</v>
      </c>
      <c r="C1137" s="95">
        <v>2021</v>
      </c>
      <c r="D1137" s="96" t="s">
        <v>959</v>
      </c>
      <c r="E1137" s="96" t="s">
        <v>904</v>
      </c>
      <c r="F1137" s="101">
        <v>1.5</v>
      </c>
      <c r="G1137" s="105"/>
      <c r="H1137" s="104"/>
      <c r="I1137" s="101">
        <v>1.39</v>
      </c>
      <c r="J1137" s="99">
        <f>Table336789101112131415[[#This Row],[Sched C/ County/ State]]-Table336789101112131415[[#This Row],[2025 Rate]]</f>
        <v>0.11</v>
      </c>
    </row>
    <row r="1138" spans="1:10" x14ac:dyDescent="0.2">
      <c r="A1138" s="93">
        <v>5538</v>
      </c>
      <c r="B1138" s="94" t="s">
        <v>902</v>
      </c>
      <c r="C1138" s="95">
        <v>2021</v>
      </c>
      <c r="D1138" s="96" t="s">
        <v>959</v>
      </c>
      <c r="E1138" s="96" t="s">
        <v>904</v>
      </c>
      <c r="F1138" s="101">
        <v>1.5</v>
      </c>
      <c r="G1138" s="105"/>
      <c r="H1138" s="104"/>
      <c r="I1138" s="101">
        <v>1.39</v>
      </c>
      <c r="J1138" s="99">
        <f>Table336789101112131415[[#This Row],[Sched C/ County/ State]]-Table336789101112131415[[#This Row],[2025 Rate]]</f>
        <v>0.11</v>
      </c>
    </row>
    <row r="1139" spans="1:10" x14ac:dyDescent="0.2">
      <c r="A1139" s="93">
        <v>5539</v>
      </c>
      <c r="B1139" s="94" t="s">
        <v>902</v>
      </c>
      <c r="C1139" s="95">
        <v>2021</v>
      </c>
      <c r="D1139" s="96" t="s">
        <v>959</v>
      </c>
      <c r="E1139" s="96" t="s">
        <v>904</v>
      </c>
      <c r="F1139" s="101">
        <v>1.5</v>
      </c>
      <c r="G1139" s="105"/>
      <c r="H1139" s="104"/>
      <c r="I1139" s="101">
        <v>1.39</v>
      </c>
      <c r="J1139" s="99">
        <f>Table336789101112131415[[#This Row],[Sched C/ County/ State]]-Table336789101112131415[[#This Row],[2025 Rate]]</f>
        <v>0.11</v>
      </c>
    </row>
    <row r="1140" spans="1:10" x14ac:dyDescent="0.2">
      <c r="A1140" s="93">
        <v>5540</v>
      </c>
      <c r="B1140" s="94" t="s">
        <v>902</v>
      </c>
      <c r="C1140" s="95">
        <v>2021</v>
      </c>
      <c r="D1140" s="96" t="s">
        <v>959</v>
      </c>
      <c r="E1140" s="96" t="s">
        <v>904</v>
      </c>
      <c r="F1140" s="101">
        <v>1.5</v>
      </c>
      <c r="G1140" s="105"/>
      <c r="H1140" s="104"/>
      <c r="I1140" s="101">
        <v>1.39</v>
      </c>
      <c r="J1140" s="99">
        <f>Table336789101112131415[[#This Row],[Sched C/ County/ State]]-Table336789101112131415[[#This Row],[2025 Rate]]</f>
        <v>0.11</v>
      </c>
    </row>
    <row r="1141" spans="1:10" x14ac:dyDescent="0.2">
      <c r="A1141" s="93">
        <v>5542</v>
      </c>
      <c r="B1141" s="96" t="s">
        <v>902</v>
      </c>
      <c r="C1141" s="95">
        <v>2010</v>
      </c>
      <c r="D1141" s="96" t="s">
        <v>170</v>
      </c>
      <c r="F1141" s="101">
        <v>1.5</v>
      </c>
      <c r="G1141" s="103"/>
      <c r="H1141" s="104"/>
      <c r="I1141" s="101">
        <v>1.39</v>
      </c>
      <c r="J1141" s="99">
        <f>Table336789101112131415[[#This Row],[Sched C/ County/ State]]-Table336789101112131415[[#This Row],[2025 Rate]]</f>
        <v>0.11</v>
      </c>
    </row>
    <row r="1142" spans="1:10" x14ac:dyDescent="0.2">
      <c r="A1142" s="93">
        <v>5543</v>
      </c>
      <c r="B1142" s="96" t="s">
        <v>902</v>
      </c>
      <c r="C1142" s="95">
        <v>2010</v>
      </c>
      <c r="D1142" s="96" t="s">
        <v>170</v>
      </c>
      <c r="F1142" s="101">
        <v>1.5</v>
      </c>
      <c r="G1142" s="103"/>
      <c r="H1142" s="104"/>
      <c r="I1142" s="101">
        <v>1.39</v>
      </c>
      <c r="J1142" s="99">
        <f>Table336789101112131415[[#This Row],[Sched C/ County/ State]]-Table336789101112131415[[#This Row],[2025 Rate]]</f>
        <v>0.11</v>
      </c>
    </row>
    <row r="1143" spans="1:10" x14ac:dyDescent="0.2">
      <c r="A1143" s="93">
        <v>5544</v>
      </c>
      <c r="B1143" s="96" t="s">
        <v>902</v>
      </c>
      <c r="C1143" s="95">
        <v>2010</v>
      </c>
      <c r="D1143" s="96" t="s">
        <v>170</v>
      </c>
      <c r="F1143" s="101">
        <v>1.5</v>
      </c>
      <c r="G1143" s="103"/>
      <c r="H1143" s="104"/>
      <c r="I1143" s="101">
        <v>1.39</v>
      </c>
      <c r="J1143" s="99">
        <f>Table336789101112131415[[#This Row],[Sched C/ County/ State]]-Table336789101112131415[[#This Row],[2025 Rate]]</f>
        <v>0.11</v>
      </c>
    </row>
    <row r="1144" spans="1:10" x14ac:dyDescent="0.2">
      <c r="A1144" s="93">
        <v>5545</v>
      </c>
      <c r="B1144" s="96" t="s">
        <v>902</v>
      </c>
      <c r="C1144" s="95">
        <v>2010</v>
      </c>
      <c r="D1144" s="96" t="s">
        <v>170</v>
      </c>
      <c r="F1144" s="101">
        <v>1.5</v>
      </c>
      <c r="G1144" s="103"/>
      <c r="H1144" s="104"/>
      <c r="I1144" s="101">
        <v>1.39</v>
      </c>
      <c r="J1144" s="99">
        <f>Table336789101112131415[[#This Row],[Sched C/ County/ State]]-Table336789101112131415[[#This Row],[2025 Rate]]</f>
        <v>0.11</v>
      </c>
    </row>
    <row r="1145" spans="1:10" x14ac:dyDescent="0.2">
      <c r="A1145" s="93">
        <v>5547</v>
      </c>
      <c r="B1145" s="96" t="s">
        <v>902</v>
      </c>
      <c r="C1145" s="95">
        <v>2012</v>
      </c>
      <c r="D1145" s="96" t="s">
        <v>903</v>
      </c>
      <c r="E1145" s="96" t="s">
        <v>960</v>
      </c>
      <c r="F1145" s="101">
        <v>1.5</v>
      </c>
      <c r="G1145" s="103"/>
      <c r="H1145" s="104"/>
      <c r="I1145" s="101">
        <v>1.39</v>
      </c>
      <c r="J1145" s="99">
        <f>Table336789101112131415[[#This Row],[Sched C/ County/ State]]-Table336789101112131415[[#This Row],[2025 Rate]]</f>
        <v>0.11</v>
      </c>
    </row>
    <row r="1146" spans="1:10" x14ac:dyDescent="0.2">
      <c r="A1146" s="93">
        <v>5548</v>
      </c>
      <c r="B1146" s="96" t="s">
        <v>902</v>
      </c>
      <c r="C1146" s="95">
        <v>2012</v>
      </c>
      <c r="D1146" s="96" t="s">
        <v>903</v>
      </c>
      <c r="E1146" s="96" t="s">
        <v>904</v>
      </c>
      <c r="F1146" s="101">
        <v>1.5</v>
      </c>
      <c r="G1146" s="103"/>
      <c r="H1146" s="104"/>
      <c r="I1146" s="101">
        <v>1.39</v>
      </c>
      <c r="J1146" s="99">
        <f>Table336789101112131415[[#This Row],[Sched C/ County/ State]]-Table336789101112131415[[#This Row],[2025 Rate]]</f>
        <v>0.11</v>
      </c>
    </row>
    <row r="1147" spans="1:10" x14ac:dyDescent="0.2">
      <c r="A1147" s="93">
        <v>5549</v>
      </c>
      <c r="B1147" s="96" t="s">
        <v>902</v>
      </c>
      <c r="C1147" s="95">
        <v>2012</v>
      </c>
      <c r="D1147" s="96" t="s">
        <v>903</v>
      </c>
      <c r="E1147" s="96" t="s">
        <v>904</v>
      </c>
      <c r="F1147" s="101">
        <v>1.5</v>
      </c>
      <c r="G1147" s="103"/>
      <c r="H1147" s="104"/>
      <c r="I1147" s="101">
        <v>1.39</v>
      </c>
      <c r="J1147" s="99">
        <f>Table336789101112131415[[#This Row],[Sched C/ County/ State]]-Table336789101112131415[[#This Row],[2025 Rate]]</f>
        <v>0.11</v>
      </c>
    </row>
    <row r="1148" spans="1:10" x14ac:dyDescent="0.2">
      <c r="A1148" s="93">
        <v>5550</v>
      </c>
      <c r="B1148" s="96" t="s">
        <v>902</v>
      </c>
      <c r="C1148" s="95">
        <v>2012</v>
      </c>
      <c r="D1148" s="96" t="s">
        <v>903</v>
      </c>
      <c r="E1148" s="96" t="s">
        <v>904</v>
      </c>
      <c r="F1148" s="101">
        <v>1.5</v>
      </c>
      <c r="G1148" s="103"/>
      <c r="H1148" s="104"/>
      <c r="I1148" s="101">
        <v>1.39</v>
      </c>
      <c r="J1148" s="99">
        <f>Table336789101112131415[[#This Row],[Sched C/ County/ State]]-Table336789101112131415[[#This Row],[2025 Rate]]</f>
        <v>0.11</v>
      </c>
    </row>
    <row r="1149" spans="1:10" x14ac:dyDescent="0.2">
      <c r="A1149" s="93">
        <v>5554</v>
      </c>
      <c r="B1149" s="96" t="s">
        <v>902</v>
      </c>
      <c r="C1149" s="95">
        <v>2013</v>
      </c>
      <c r="D1149" s="96" t="s">
        <v>961</v>
      </c>
      <c r="E1149" s="96" t="s">
        <v>904</v>
      </c>
      <c r="F1149" s="101">
        <v>1.5</v>
      </c>
      <c r="G1149" s="103"/>
      <c r="H1149" s="104"/>
      <c r="I1149" s="101">
        <v>1.39</v>
      </c>
      <c r="J1149" s="99">
        <f>Table336789101112131415[[#This Row],[Sched C/ County/ State]]-Table336789101112131415[[#This Row],[2025 Rate]]</f>
        <v>0.11</v>
      </c>
    </row>
    <row r="1150" spans="1:10" x14ac:dyDescent="0.2">
      <c r="A1150" s="93">
        <v>5557</v>
      </c>
      <c r="B1150" s="96" t="s">
        <v>902</v>
      </c>
      <c r="C1150" s="95">
        <v>2014</v>
      </c>
      <c r="D1150" s="96" t="s">
        <v>903</v>
      </c>
      <c r="E1150" s="96" t="s">
        <v>904</v>
      </c>
      <c r="F1150" s="101">
        <v>1.5</v>
      </c>
      <c r="G1150" s="103"/>
      <c r="H1150" s="104"/>
      <c r="I1150" s="101">
        <v>1.39</v>
      </c>
      <c r="J1150" s="99">
        <f>Table336789101112131415[[#This Row],[Sched C/ County/ State]]-Table336789101112131415[[#This Row],[2025 Rate]]</f>
        <v>0.11</v>
      </c>
    </row>
    <row r="1151" spans="1:10" x14ac:dyDescent="0.2">
      <c r="A1151" s="93">
        <v>5558</v>
      </c>
      <c r="B1151" s="96" t="s">
        <v>902</v>
      </c>
      <c r="C1151" s="95">
        <v>2014</v>
      </c>
      <c r="D1151" s="96" t="s">
        <v>903</v>
      </c>
      <c r="E1151" s="96" t="s">
        <v>904</v>
      </c>
      <c r="F1151" s="101">
        <v>1.5</v>
      </c>
      <c r="G1151" s="103"/>
      <c r="H1151" s="104"/>
      <c r="I1151" s="101">
        <v>1.39</v>
      </c>
      <c r="J1151" s="99">
        <f>Table336789101112131415[[#This Row],[Sched C/ County/ State]]-Table336789101112131415[[#This Row],[2025 Rate]]</f>
        <v>0.11</v>
      </c>
    </row>
    <row r="1152" spans="1:10" x14ac:dyDescent="0.2">
      <c r="A1152" s="93">
        <v>5559</v>
      </c>
      <c r="B1152" s="96" t="s">
        <v>902</v>
      </c>
      <c r="C1152" s="95">
        <v>2014</v>
      </c>
      <c r="D1152" s="96" t="s">
        <v>959</v>
      </c>
      <c r="F1152" s="101">
        <v>1.5</v>
      </c>
      <c r="G1152" s="103"/>
      <c r="H1152" s="104"/>
      <c r="I1152" s="101">
        <v>1.39</v>
      </c>
      <c r="J1152" s="99">
        <f>Table336789101112131415[[#This Row],[Sched C/ County/ State]]-Table336789101112131415[[#This Row],[2025 Rate]]</f>
        <v>0.11</v>
      </c>
    </row>
    <row r="1153" spans="1:10" x14ac:dyDescent="0.2">
      <c r="A1153" s="93">
        <v>5560</v>
      </c>
      <c r="B1153" s="96" t="s">
        <v>902</v>
      </c>
      <c r="C1153" s="95">
        <v>2014</v>
      </c>
      <c r="D1153" s="96" t="s">
        <v>959</v>
      </c>
      <c r="F1153" s="101">
        <v>1.5</v>
      </c>
      <c r="G1153" s="103"/>
      <c r="H1153" s="104"/>
      <c r="I1153" s="101">
        <v>1.39</v>
      </c>
      <c r="J1153" s="99">
        <f>Table336789101112131415[[#This Row],[Sched C/ County/ State]]-Table336789101112131415[[#This Row],[2025 Rate]]</f>
        <v>0.11</v>
      </c>
    </row>
    <row r="1154" spans="1:10" x14ac:dyDescent="0.2">
      <c r="A1154" s="93">
        <v>5561</v>
      </c>
      <c r="B1154" s="96" t="s">
        <v>902</v>
      </c>
      <c r="C1154" s="95">
        <v>2014</v>
      </c>
      <c r="D1154" s="96" t="s">
        <v>903</v>
      </c>
      <c r="E1154" s="96" t="s">
        <v>904</v>
      </c>
      <c r="F1154" s="101">
        <v>1.5</v>
      </c>
      <c r="G1154" s="103"/>
      <c r="H1154" s="104"/>
      <c r="I1154" s="101">
        <v>1.39</v>
      </c>
      <c r="J1154" s="99">
        <f>Table336789101112131415[[#This Row],[Sched C/ County/ State]]-Table336789101112131415[[#This Row],[2025 Rate]]</f>
        <v>0.11</v>
      </c>
    </row>
    <row r="1155" spans="1:10" x14ac:dyDescent="0.2">
      <c r="A1155" s="93">
        <v>5562</v>
      </c>
      <c r="B1155" s="94" t="s">
        <v>902</v>
      </c>
      <c r="C1155" s="95">
        <v>2016</v>
      </c>
      <c r="D1155" s="96" t="s">
        <v>903</v>
      </c>
      <c r="E1155" s="96" t="s">
        <v>904</v>
      </c>
      <c r="F1155" s="101">
        <v>1.5</v>
      </c>
      <c r="G1155" s="105"/>
      <c r="H1155" s="106"/>
      <c r="I1155" s="101">
        <v>1.39</v>
      </c>
      <c r="J1155" s="99">
        <f>Table336789101112131415[[#This Row],[Sched C/ County/ State]]-Table336789101112131415[[#This Row],[2025 Rate]]</f>
        <v>0.11</v>
      </c>
    </row>
    <row r="1156" spans="1:10" x14ac:dyDescent="0.2">
      <c r="A1156" s="93">
        <v>5565</v>
      </c>
      <c r="B1156" s="94" t="s">
        <v>902</v>
      </c>
      <c r="C1156" s="95">
        <v>2016</v>
      </c>
      <c r="D1156" s="96" t="s">
        <v>903</v>
      </c>
      <c r="E1156" s="96" t="s">
        <v>962</v>
      </c>
      <c r="F1156" s="101">
        <v>1.5</v>
      </c>
      <c r="G1156" s="105"/>
      <c r="H1156" s="106"/>
      <c r="I1156" s="101">
        <v>1.39</v>
      </c>
      <c r="J1156" s="99">
        <f>Table336789101112131415[[#This Row],[Sched C/ County/ State]]-Table336789101112131415[[#This Row],[2025 Rate]]</f>
        <v>0.11</v>
      </c>
    </row>
    <row r="1157" spans="1:10" x14ac:dyDescent="0.2">
      <c r="A1157" s="93">
        <v>5566</v>
      </c>
      <c r="B1157" s="94" t="s">
        <v>902</v>
      </c>
      <c r="C1157" s="95">
        <v>2016</v>
      </c>
      <c r="D1157" s="96" t="s">
        <v>903</v>
      </c>
      <c r="E1157" s="96" t="s">
        <v>962</v>
      </c>
      <c r="F1157" s="101">
        <v>1.5</v>
      </c>
      <c r="G1157" s="105"/>
      <c r="H1157" s="106"/>
      <c r="I1157" s="101">
        <v>1.39</v>
      </c>
      <c r="J1157" s="99">
        <f>Table336789101112131415[[#This Row],[Sched C/ County/ State]]-Table336789101112131415[[#This Row],[2025 Rate]]</f>
        <v>0.11</v>
      </c>
    </row>
    <row r="1158" spans="1:10" x14ac:dyDescent="0.2">
      <c r="A1158" s="93">
        <v>5567</v>
      </c>
      <c r="B1158" s="94" t="s">
        <v>902</v>
      </c>
      <c r="C1158" s="95"/>
      <c r="D1158" s="96" t="s">
        <v>903</v>
      </c>
      <c r="E1158" s="96" t="s">
        <v>904</v>
      </c>
      <c r="F1158" s="101">
        <v>1.5</v>
      </c>
      <c r="G1158" s="105"/>
      <c r="H1158" s="104"/>
      <c r="I1158" s="101">
        <v>1.39</v>
      </c>
      <c r="J1158" s="99">
        <f>Table336789101112131415[[#This Row],[Sched C/ County/ State]]-Table336789101112131415[[#This Row],[2025 Rate]]</f>
        <v>0.11</v>
      </c>
    </row>
    <row r="1159" spans="1:10" x14ac:dyDescent="0.2">
      <c r="A1159" s="93">
        <v>5595</v>
      </c>
      <c r="B1159" s="94" t="s">
        <v>902</v>
      </c>
      <c r="C1159" s="95">
        <v>2017</v>
      </c>
      <c r="D1159" s="96" t="s">
        <v>903</v>
      </c>
      <c r="E1159" s="96" t="s">
        <v>904</v>
      </c>
      <c r="F1159" s="101">
        <v>1.5</v>
      </c>
      <c r="G1159" s="105"/>
      <c r="H1159" s="104"/>
      <c r="I1159" s="101">
        <v>1.39</v>
      </c>
      <c r="J1159" s="99">
        <f>Table336789101112131415[[#This Row],[Sched C/ County/ State]]-Table336789101112131415[[#This Row],[2025 Rate]]</f>
        <v>0.11</v>
      </c>
    </row>
    <row r="1160" spans="1:10" x14ac:dyDescent="0.2">
      <c r="A1160" s="93">
        <v>5596</v>
      </c>
      <c r="B1160" s="94" t="s">
        <v>902</v>
      </c>
      <c r="C1160" s="95">
        <v>2017</v>
      </c>
      <c r="D1160" s="96" t="s">
        <v>903</v>
      </c>
      <c r="E1160" s="96" t="s">
        <v>904</v>
      </c>
      <c r="F1160" s="101">
        <v>1.5</v>
      </c>
      <c r="G1160" s="105"/>
      <c r="H1160" s="104"/>
      <c r="I1160" s="101">
        <v>1.39</v>
      </c>
      <c r="J1160" s="99">
        <f>Table336789101112131415[[#This Row],[Sched C/ County/ State]]-Table336789101112131415[[#This Row],[2025 Rate]]</f>
        <v>0.11</v>
      </c>
    </row>
    <row r="1161" spans="1:10" x14ac:dyDescent="0.2">
      <c r="A1161" s="93">
        <v>5597</v>
      </c>
      <c r="B1161" s="94" t="s">
        <v>902</v>
      </c>
      <c r="C1161" s="95">
        <v>2023</v>
      </c>
      <c r="D1161" s="96" t="s">
        <v>903</v>
      </c>
      <c r="E1161" s="96" t="s">
        <v>904</v>
      </c>
      <c r="F1161" s="101">
        <v>1.5</v>
      </c>
      <c r="G1161" s="105"/>
      <c r="H1161" s="104"/>
      <c r="I1161" s="101">
        <v>1.39</v>
      </c>
      <c r="J1161" s="99">
        <f>Table336789101112131415[[#This Row],[Sched C/ County/ State]]-Table336789101112131415[[#This Row],[2025 Rate]]</f>
        <v>0.11</v>
      </c>
    </row>
    <row r="1162" spans="1:10" x14ac:dyDescent="0.2">
      <c r="A1162" s="93">
        <v>5598</v>
      </c>
      <c r="B1162" s="94" t="s">
        <v>902</v>
      </c>
      <c r="C1162" s="95"/>
      <c r="D1162" s="96" t="s">
        <v>903</v>
      </c>
      <c r="E1162" s="96" t="s">
        <v>904</v>
      </c>
      <c r="F1162" s="101">
        <v>1.5</v>
      </c>
      <c r="G1162" s="105"/>
      <c r="H1162" s="104"/>
      <c r="I1162" s="101">
        <v>1.39</v>
      </c>
      <c r="J1162" s="99">
        <f>Table336789101112131415[[#This Row],[Sched C/ County/ State]]-Table336789101112131415[[#This Row],[2025 Rate]]</f>
        <v>0.11</v>
      </c>
    </row>
    <row r="1163" spans="1:10" x14ac:dyDescent="0.2">
      <c r="A1163" s="93">
        <v>5599</v>
      </c>
      <c r="B1163" s="94" t="s">
        <v>902</v>
      </c>
      <c r="C1163" s="95"/>
      <c r="D1163" s="96" t="s">
        <v>903</v>
      </c>
      <c r="E1163" s="96" t="s">
        <v>904</v>
      </c>
      <c r="F1163" s="101">
        <v>1.5</v>
      </c>
      <c r="G1163" s="105"/>
      <c r="H1163" s="104"/>
      <c r="I1163" s="101">
        <v>1.39</v>
      </c>
      <c r="J1163" s="99">
        <f>Table336789101112131415[[#This Row],[Sched C/ County/ State]]-Table336789101112131415[[#This Row],[2025 Rate]]</f>
        <v>0.11</v>
      </c>
    </row>
    <row r="1164" spans="1:10" x14ac:dyDescent="0.2">
      <c r="A1164" s="93">
        <v>5600</v>
      </c>
      <c r="B1164" s="94" t="s">
        <v>902</v>
      </c>
      <c r="C1164" s="95"/>
      <c r="D1164" s="96" t="s">
        <v>903</v>
      </c>
      <c r="E1164" s="96" t="s">
        <v>904</v>
      </c>
      <c r="F1164" s="101">
        <v>1.5</v>
      </c>
      <c r="G1164" s="105"/>
      <c r="H1164" s="104"/>
      <c r="I1164" s="101">
        <v>1.39</v>
      </c>
      <c r="J1164" s="99">
        <f>Table336789101112131415[[#This Row],[Sched C/ County/ State]]-Table336789101112131415[[#This Row],[2025 Rate]]</f>
        <v>0.11</v>
      </c>
    </row>
    <row r="1165" spans="1:10" x14ac:dyDescent="0.2">
      <c r="A1165" s="93">
        <v>5601</v>
      </c>
      <c r="B1165" s="94" t="s">
        <v>902</v>
      </c>
      <c r="C1165" s="95"/>
      <c r="D1165" s="96" t="s">
        <v>903</v>
      </c>
      <c r="E1165" s="96" t="s">
        <v>904</v>
      </c>
      <c r="F1165" s="101">
        <v>1.5</v>
      </c>
      <c r="G1165" s="105"/>
      <c r="H1165" s="104"/>
      <c r="I1165" s="101">
        <v>1.39</v>
      </c>
      <c r="J1165" s="99">
        <f>Table336789101112131415[[#This Row],[Sched C/ County/ State]]-Table336789101112131415[[#This Row],[2025 Rate]]</f>
        <v>0.11</v>
      </c>
    </row>
    <row r="1166" spans="1:10" x14ac:dyDescent="0.2">
      <c r="A1166" s="93">
        <v>5602</v>
      </c>
      <c r="B1166" s="94" t="s">
        <v>902</v>
      </c>
      <c r="C1166" s="95"/>
      <c r="D1166" s="96" t="s">
        <v>903</v>
      </c>
      <c r="E1166" s="96" t="s">
        <v>904</v>
      </c>
      <c r="F1166" s="101">
        <v>1.5</v>
      </c>
      <c r="G1166" s="105"/>
      <c r="H1166" s="104"/>
      <c r="I1166" s="101">
        <v>1.39</v>
      </c>
      <c r="J1166" s="99">
        <f>Table336789101112131415[[#This Row],[Sched C/ County/ State]]-Table336789101112131415[[#This Row],[2025 Rate]]</f>
        <v>0.11</v>
      </c>
    </row>
    <row r="1167" spans="1:10" x14ac:dyDescent="0.2">
      <c r="A1167" s="93">
        <v>5603</v>
      </c>
      <c r="B1167" s="94" t="s">
        <v>902</v>
      </c>
      <c r="C1167" s="95"/>
      <c r="D1167" s="96" t="s">
        <v>903</v>
      </c>
      <c r="E1167" s="96" t="s">
        <v>904</v>
      </c>
      <c r="F1167" s="101">
        <v>1.5</v>
      </c>
      <c r="G1167" s="105"/>
      <c r="H1167" s="104"/>
      <c r="I1167" s="101">
        <v>1.39</v>
      </c>
      <c r="J1167" s="99">
        <f>Table336789101112131415[[#This Row],[Sched C/ County/ State]]-Table336789101112131415[[#This Row],[2025 Rate]]</f>
        <v>0.11</v>
      </c>
    </row>
    <row r="1168" spans="1:10" x14ac:dyDescent="0.2">
      <c r="A1168" s="93">
        <v>5604</v>
      </c>
      <c r="B1168" s="94" t="s">
        <v>902</v>
      </c>
      <c r="C1168" s="95"/>
      <c r="D1168" s="96" t="s">
        <v>903</v>
      </c>
      <c r="E1168" s="96" t="s">
        <v>904</v>
      </c>
      <c r="F1168" s="101">
        <v>1.5</v>
      </c>
      <c r="G1168" s="105"/>
      <c r="H1168" s="104"/>
      <c r="I1168" s="101">
        <v>1.39</v>
      </c>
      <c r="J1168" s="99">
        <f>Table336789101112131415[[#This Row],[Sched C/ County/ State]]-Table336789101112131415[[#This Row],[2025 Rate]]</f>
        <v>0.11</v>
      </c>
    </row>
    <row r="1169" spans="1:10" x14ac:dyDescent="0.2">
      <c r="A1169" s="93">
        <v>5605</v>
      </c>
      <c r="B1169" s="94" t="s">
        <v>902</v>
      </c>
      <c r="C1169" s="95"/>
      <c r="D1169" s="96" t="s">
        <v>903</v>
      </c>
      <c r="E1169" s="96" t="s">
        <v>904</v>
      </c>
      <c r="F1169" s="101">
        <v>1.5</v>
      </c>
      <c r="G1169" s="105"/>
      <c r="H1169" s="104"/>
      <c r="I1169" s="101">
        <v>1.39</v>
      </c>
      <c r="J1169" s="99">
        <f>Table336789101112131415[[#This Row],[Sched C/ County/ State]]-Table336789101112131415[[#This Row],[2025 Rate]]</f>
        <v>0.11</v>
      </c>
    </row>
    <row r="1170" spans="1:10" x14ac:dyDescent="0.2">
      <c r="A1170" s="93">
        <v>5606</v>
      </c>
      <c r="B1170" s="94" t="s">
        <v>902</v>
      </c>
      <c r="C1170" s="95"/>
      <c r="D1170" s="96" t="s">
        <v>903</v>
      </c>
      <c r="E1170" s="96" t="s">
        <v>904</v>
      </c>
      <c r="F1170" s="101">
        <v>1.5</v>
      </c>
      <c r="G1170" s="105"/>
      <c r="H1170" s="104"/>
      <c r="I1170" s="101">
        <v>1.39</v>
      </c>
      <c r="J1170" s="99">
        <f>Table336789101112131415[[#This Row],[Sched C/ County/ State]]-Table336789101112131415[[#This Row],[2025 Rate]]</f>
        <v>0.11</v>
      </c>
    </row>
    <row r="1171" spans="1:10" x14ac:dyDescent="0.2">
      <c r="A1171" s="93">
        <v>5607</v>
      </c>
      <c r="B1171" s="94" t="s">
        <v>902</v>
      </c>
      <c r="C1171" s="95"/>
      <c r="D1171" s="96" t="s">
        <v>903</v>
      </c>
      <c r="E1171" s="96" t="s">
        <v>904</v>
      </c>
      <c r="F1171" s="101">
        <v>1.5</v>
      </c>
      <c r="G1171" s="105"/>
      <c r="H1171" s="104"/>
      <c r="I1171" s="101">
        <v>1.39</v>
      </c>
      <c r="J1171" s="99">
        <f>Table336789101112131415[[#This Row],[Sched C/ County/ State]]-Table336789101112131415[[#This Row],[2025 Rate]]</f>
        <v>0.11</v>
      </c>
    </row>
    <row r="1172" spans="1:10" x14ac:dyDescent="0.2">
      <c r="A1172" s="93">
        <v>5608</v>
      </c>
      <c r="B1172" s="94" t="s">
        <v>902</v>
      </c>
      <c r="C1172" s="95"/>
      <c r="D1172" s="96" t="s">
        <v>903</v>
      </c>
      <c r="E1172" s="96" t="s">
        <v>904</v>
      </c>
      <c r="F1172" s="101">
        <v>1.5</v>
      </c>
      <c r="G1172" s="105"/>
      <c r="H1172" s="104"/>
      <c r="I1172" s="101">
        <v>1.39</v>
      </c>
      <c r="J1172" s="99">
        <f>Table336789101112131415[[#This Row],[Sched C/ County/ State]]-Table336789101112131415[[#This Row],[2025 Rate]]</f>
        <v>0.11</v>
      </c>
    </row>
    <row r="1173" spans="1:10" x14ac:dyDescent="0.2">
      <c r="A1173" s="93">
        <v>5609</v>
      </c>
      <c r="B1173" s="94" t="s">
        <v>902</v>
      </c>
      <c r="C1173" s="95"/>
      <c r="D1173" s="96" t="s">
        <v>903</v>
      </c>
      <c r="E1173" s="96" t="s">
        <v>904</v>
      </c>
      <c r="F1173" s="101">
        <v>1.5</v>
      </c>
      <c r="G1173" s="105"/>
      <c r="H1173" s="104"/>
      <c r="I1173" s="101">
        <v>1.39</v>
      </c>
      <c r="J1173" s="99">
        <f>Table336789101112131415[[#This Row],[Sched C/ County/ State]]-Table336789101112131415[[#This Row],[2025 Rate]]</f>
        <v>0.11</v>
      </c>
    </row>
    <row r="1174" spans="1:10" x14ac:dyDescent="0.2">
      <c r="A1174" s="93">
        <v>5610</v>
      </c>
      <c r="B1174" s="94" t="s">
        <v>902</v>
      </c>
      <c r="C1174" s="95"/>
      <c r="D1174" s="96" t="s">
        <v>903</v>
      </c>
      <c r="E1174" s="96" t="s">
        <v>904</v>
      </c>
      <c r="F1174" s="101">
        <v>1.5</v>
      </c>
      <c r="G1174" s="105"/>
      <c r="H1174" s="104"/>
      <c r="I1174" s="101">
        <v>1.39</v>
      </c>
      <c r="J1174" s="99">
        <f>Table336789101112131415[[#This Row],[Sched C/ County/ State]]-Table336789101112131415[[#This Row],[2025 Rate]]</f>
        <v>0.11</v>
      </c>
    </row>
    <row r="1175" spans="1:10" x14ac:dyDescent="0.2">
      <c r="A1175" s="93">
        <v>5611</v>
      </c>
      <c r="B1175" s="94" t="s">
        <v>902</v>
      </c>
      <c r="C1175" s="95"/>
      <c r="D1175" s="96" t="s">
        <v>903</v>
      </c>
      <c r="E1175" s="96" t="s">
        <v>904</v>
      </c>
      <c r="F1175" s="101">
        <v>1.5</v>
      </c>
      <c r="G1175" s="105"/>
      <c r="H1175" s="104"/>
      <c r="I1175" s="101">
        <v>1.39</v>
      </c>
      <c r="J1175" s="99">
        <f>Table336789101112131415[[#This Row],[Sched C/ County/ State]]-Table336789101112131415[[#This Row],[2025 Rate]]</f>
        <v>0.11</v>
      </c>
    </row>
    <row r="1176" spans="1:10" x14ac:dyDescent="0.2">
      <c r="A1176" s="93">
        <v>5616</v>
      </c>
      <c r="B1176" s="94" t="s">
        <v>902</v>
      </c>
      <c r="C1176" s="95">
        <v>2019</v>
      </c>
      <c r="D1176" s="96" t="s">
        <v>959</v>
      </c>
      <c r="E1176" s="96" t="s">
        <v>904</v>
      </c>
      <c r="F1176" s="101">
        <v>1.5</v>
      </c>
      <c r="G1176" s="103"/>
      <c r="H1176" s="104"/>
      <c r="I1176" s="101">
        <v>1.39</v>
      </c>
      <c r="J1176" s="99">
        <f>Table336789101112131415[[#This Row],[Sched C/ County/ State]]-Table336789101112131415[[#This Row],[2025 Rate]]</f>
        <v>0.11</v>
      </c>
    </row>
    <row r="1177" spans="1:10" x14ac:dyDescent="0.2">
      <c r="A1177" s="93">
        <v>5623</v>
      </c>
      <c r="B1177" s="96" t="s">
        <v>902</v>
      </c>
      <c r="C1177" s="95">
        <v>2010</v>
      </c>
      <c r="F1177" s="101">
        <v>1.5</v>
      </c>
      <c r="G1177" s="103"/>
      <c r="H1177" s="104"/>
      <c r="I1177" s="101">
        <v>1.39</v>
      </c>
      <c r="J1177" s="99">
        <f>Table336789101112131415[[#This Row],[Sched C/ County/ State]]-Table336789101112131415[[#This Row],[2025 Rate]]</f>
        <v>0.11</v>
      </c>
    </row>
    <row r="1178" spans="1:10" x14ac:dyDescent="0.2">
      <c r="A1178" s="93">
        <v>5637</v>
      </c>
      <c r="B1178" s="94" t="s">
        <v>902</v>
      </c>
      <c r="C1178" s="95">
        <v>2019</v>
      </c>
      <c r="F1178" s="101">
        <v>1.5</v>
      </c>
      <c r="G1178" s="103"/>
      <c r="H1178" s="104"/>
      <c r="I1178" s="101">
        <v>1.39</v>
      </c>
      <c r="J1178" s="99">
        <f>Table336789101112131415[[#This Row],[Sched C/ County/ State]]-Table336789101112131415[[#This Row],[2025 Rate]]</f>
        <v>0.11</v>
      </c>
    </row>
    <row r="1179" spans="1:10" x14ac:dyDescent="0.2">
      <c r="A1179" s="93">
        <v>5644</v>
      </c>
      <c r="B1179" s="96" t="s">
        <v>902</v>
      </c>
      <c r="C1179" s="95">
        <v>2010</v>
      </c>
      <c r="F1179" s="101">
        <v>1.5</v>
      </c>
      <c r="G1179" s="103"/>
      <c r="H1179" s="104"/>
      <c r="I1179" s="101">
        <v>1.39</v>
      </c>
      <c r="J1179" s="99">
        <f>Table336789101112131415[[#This Row],[Sched C/ County/ State]]-Table336789101112131415[[#This Row],[2025 Rate]]</f>
        <v>0.11</v>
      </c>
    </row>
    <row r="1180" spans="1:10" x14ac:dyDescent="0.2">
      <c r="A1180" s="93">
        <v>5652</v>
      </c>
      <c r="B1180" s="94" t="s">
        <v>902</v>
      </c>
      <c r="C1180" s="95">
        <v>2019</v>
      </c>
      <c r="D1180" s="96" t="s">
        <v>959</v>
      </c>
      <c r="E1180" s="96" t="s">
        <v>963</v>
      </c>
      <c r="F1180" s="101">
        <v>1.5</v>
      </c>
      <c r="G1180" s="103"/>
      <c r="H1180" s="104"/>
      <c r="I1180" s="101">
        <v>1.39</v>
      </c>
      <c r="J1180" s="99">
        <f>Table336789101112131415[[#This Row],[Sched C/ County/ State]]-Table336789101112131415[[#This Row],[2025 Rate]]</f>
        <v>0.11</v>
      </c>
    </row>
    <row r="1181" spans="1:10" x14ac:dyDescent="0.2">
      <c r="A1181" s="93">
        <v>5653</v>
      </c>
      <c r="B1181" s="94" t="s">
        <v>902</v>
      </c>
      <c r="C1181" s="95">
        <v>2020</v>
      </c>
      <c r="D1181" s="96" t="s">
        <v>959</v>
      </c>
      <c r="E1181" s="96" t="s">
        <v>904</v>
      </c>
      <c r="F1181" s="101">
        <v>1.5</v>
      </c>
      <c r="G1181" s="103"/>
      <c r="H1181" s="104"/>
      <c r="I1181" s="101">
        <v>1.39</v>
      </c>
      <c r="J1181" s="99">
        <f>Table336789101112131415[[#This Row],[Sched C/ County/ State]]-Table336789101112131415[[#This Row],[2025 Rate]]</f>
        <v>0.11</v>
      </c>
    </row>
    <row r="1182" spans="1:10" x14ac:dyDescent="0.2">
      <c r="A1182" s="93">
        <v>5655</v>
      </c>
      <c r="B1182" s="96" t="s">
        <v>902</v>
      </c>
      <c r="C1182" s="95">
        <v>2007</v>
      </c>
      <c r="F1182" s="101">
        <v>1.5</v>
      </c>
      <c r="G1182" s="103"/>
      <c r="H1182" s="104"/>
      <c r="I1182" s="101">
        <v>1.39</v>
      </c>
      <c r="J1182" s="99">
        <f>Table336789101112131415[[#This Row],[Sched C/ County/ State]]-Table336789101112131415[[#This Row],[2025 Rate]]</f>
        <v>0.11</v>
      </c>
    </row>
    <row r="1183" spans="1:10" x14ac:dyDescent="0.2">
      <c r="A1183" s="93">
        <v>5656</v>
      </c>
      <c r="B1183" s="96" t="s">
        <v>902</v>
      </c>
      <c r="C1183" s="95">
        <v>2007</v>
      </c>
      <c r="F1183" s="101">
        <v>1.5</v>
      </c>
      <c r="G1183" s="103"/>
      <c r="H1183" s="104"/>
      <c r="I1183" s="101">
        <v>1.39</v>
      </c>
      <c r="J1183" s="99">
        <f>Table336789101112131415[[#This Row],[Sched C/ County/ State]]-Table336789101112131415[[#This Row],[2025 Rate]]</f>
        <v>0.11</v>
      </c>
    </row>
    <row r="1184" spans="1:10" x14ac:dyDescent="0.2">
      <c r="A1184" s="93">
        <v>5660</v>
      </c>
      <c r="B1184" s="96" t="s">
        <v>902</v>
      </c>
      <c r="C1184" s="95">
        <v>2008</v>
      </c>
      <c r="F1184" s="101">
        <v>1.5</v>
      </c>
      <c r="G1184" s="103"/>
      <c r="H1184" s="104"/>
      <c r="I1184" s="101">
        <v>1.39</v>
      </c>
      <c r="J1184" s="99">
        <f>Table336789101112131415[[#This Row],[Sched C/ County/ State]]-Table336789101112131415[[#This Row],[2025 Rate]]</f>
        <v>0.11</v>
      </c>
    </row>
    <row r="1185" spans="1:10" x14ac:dyDescent="0.2">
      <c r="A1185" s="93">
        <v>5661</v>
      </c>
      <c r="B1185" s="96" t="s">
        <v>902</v>
      </c>
      <c r="C1185" s="95">
        <v>2008</v>
      </c>
      <c r="D1185" s="96" t="s">
        <v>903</v>
      </c>
      <c r="E1185" s="96" t="s">
        <v>904</v>
      </c>
      <c r="F1185" s="101">
        <v>1.5</v>
      </c>
      <c r="G1185" s="103"/>
      <c r="H1185" s="104"/>
      <c r="I1185" s="101">
        <v>1.39</v>
      </c>
      <c r="J1185" s="99">
        <f>Table336789101112131415[[#This Row],[Sched C/ County/ State]]-Table336789101112131415[[#This Row],[2025 Rate]]</f>
        <v>0.11</v>
      </c>
    </row>
    <row r="1186" spans="1:10" x14ac:dyDescent="0.2">
      <c r="A1186" s="93">
        <v>5662</v>
      </c>
      <c r="B1186" s="96" t="s">
        <v>902</v>
      </c>
      <c r="C1186" s="95">
        <v>2010</v>
      </c>
      <c r="F1186" s="101">
        <v>1.5</v>
      </c>
      <c r="G1186" s="103"/>
      <c r="H1186" s="104"/>
      <c r="I1186" s="101">
        <v>1.39</v>
      </c>
      <c r="J1186" s="99">
        <f>Table336789101112131415[[#This Row],[Sched C/ County/ State]]-Table336789101112131415[[#This Row],[2025 Rate]]</f>
        <v>0.11</v>
      </c>
    </row>
    <row r="1187" spans="1:10" x14ac:dyDescent="0.2">
      <c r="A1187" s="93">
        <v>5664</v>
      </c>
      <c r="B1187" s="96" t="s">
        <v>902</v>
      </c>
      <c r="C1187" s="95">
        <v>2010</v>
      </c>
      <c r="F1187" s="101">
        <v>1.5</v>
      </c>
      <c r="G1187" s="103"/>
      <c r="H1187" s="104"/>
      <c r="I1187" s="101">
        <v>1.39</v>
      </c>
      <c r="J1187" s="99">
        <f>Table336789101112131415[[#This Row],[Sched C/ County/ State]]-Table336789101112131415[[#This Row],[2025 Rate]]</f>
        <v>0.11</v>
      </c>
    </row>
    <row r="1188" spans="1:10" x14ac:dyDescent="0.2">
      <c r="A1188" s="93">
        <v>5666</v>
      </c>
      <c r="B1188" s="96" t="s">
        <v>902</v>
      </c>
      <c r="C1188" s="95">
        <v>2010</v>
      </c>
      <c r="F1188" s="101">
        <v>1.5</v>
      </c>
      <c r="G1188" s="103"/>
      <c r="H1188" s="104"/>
      <c r="I1188" s="101">
        <v>1.39</v>
      </c>
      <c r="J1188" s="99">
        <f>Table336789101112131415[[#This Row],[Sched C/ County/ State]]-Table336789101112131415[[#This Row],[2025 Rate]]</f>
        <v>0.11</v>
      </c>
    </row>
    <row r="1189" spans="1:10" x14ac:dyDescent="0.2">
      <c r="A1189" s="93">
        <v>5673</v>
      </c>
      <c r="B1189" s="94" t="s">
        <v>902</v>
      </c>
      <c r="C1189" s="95">
        <v>2018</v>
      </c>
      <c r="D1189" s="96" t="s">
        <v>964</v>
      </c>
      <c r="E1189" s="96" t="s">
        <v>904</v>
      </c>
      <c r="F1189" s="101">
        <v>1.5</v>
      </c>
      <c r="G1189" s="103"/>
      <c r="H1189" s="104"/>
      <c r="I1189" s="101">
        <v>1.39</v>
      </c>
      <c r="J1189" s="99">
        <f>Table336789101112131415[[#This Row],[Sched C/ County/ State]]-Table336789101112131415[[#This Row],[2025 Rate]]</f>
        <v>0.11</v>
      </c>
    </row>
    <row r="1190" spans="1:10" x14ac:dyDescent="0.2">
      <c r="A1190" s="93">
        <v>5676</v>
      </c>
      <c r="B1190" s="94" t="s">
        <v>902</v>
      </c>
      <c r="C1190" s="95">
        <v>2018</v>
      </c>
      <c r="D1190" s="96" t="s">
        <v>964</v>
      </c>
      <c r="E1190" s="96" t="s">
        <v>904</v>
      </c>
      <c r="F1190" s="101">
        <v>1.5</v>
      </c>
      <c r="G1190" s="103"/>
      <c r="H1190" s="104"/>
      <c r="I1190" s="101">
        <v>1.39</v>
      </c>
      <c r="J1190" s="99">
        <f>Table336789101112131415[[#This Row],[Sched C/ County/ State]]-Table336789101112131415[[#This Row],[2025 Rate]]</f>
        <v>0.11</v>
      </c>
    </row>
    <row r="1191" spans="1:10" x14ac:dyDescent="0.2">
      <c r="A1191" s="93">
        <v>5687</v>
      </c>
      <c r="B1191" s="94" t="s">
        <v>902</v>
      </c>
      <c r="C1191" s="95">
        <v>2018</v>
      </c>
      <c r="D1191" s="96" t="s">
        <v>964</v>
      </c>
      <c r="E1191" s="96" t="s">
        <v>904</v>
      </c>
      <c r="F1191" s="101">
        <v>1.5</v>
      </c>
      <c r="G1191" s="103"/>
      <c r="H1191" s="104"/>
      <c r="I1191" s="101">
        <v>1.39</v>
      </c>
      <c r="J1191" s="99">
        <f>Table336789101112131415[[#This Row],[Sched C/ County/ State]]-Table336789101112131415[[#This Row],[2025 Rate]]</f>
        <v>0.11</v>
      </c>
    </row>
    <row r="1192" spans="1:10" x14ac:dyDescent="0.2">
      <c r="A1192" s="93">
        <v>6000</v>
      </c>
      <c r="B1192" s="96" t="s">
        <v>863</v>
      </c>
      <c r="C1192" s="95">
        <v>2003</v>
      </c>
      <c r="D1192" s="96" t="s">
        <v>170</v>
      </c>
      <c r="E1192" s="96" t="s">
        <v>965</v>
      </c>
      <c r="F1192" s="101">
        <v>11.01</v>
      </c>
      <c r="G1192" s="103"/>
      <c r="H1192" s="104"/>
      <c r="I1192" s="101">
        <v>10.3</v>
      </c>
      <c r="J1192" s="99">
        <f>Table336789101112131415[[#This Row],[Sched C/ County/ State]]-Table336789101112131415[[#This Row],[2025 Rate]]</f>
        <v>0.71</v>
      </c>
    </row>
    <row r="1193" spans="1:10" x14ac:dyDescent="0.2">
      <c r="A1193" s="93">
        <v>6001</v>
      </c>
      <c r="B1193" s="96" t="s">
        <v>863</v>
      </c>
      <c r="C1193" s="95">
        <v>2003</v>
      </c>
      <c r="D1193" s="96" t="s">
        <v>170</v>
      </c>
      <c r="E1193" s="96" t="s">
        <v>966</v>
      </c>
      <c r="F1193" s="101">
        <v>11.01</v>
      </c>
      <c r="G1193" s="103"/>
      <c r="H1193" s="104"/>
      <c r="I1193" s="101">
        <v>10.3</v>
      </c>
      <c r="J1193" s="99">
        <f>Table336789101112131415[[#This Row],[Sched C/ County/ State]]-Table336789101112131415[[#This Row],[2025 Rate]]</f>
        <v>0.71</v>
      </c>
    </row>
    <row r="1194" spans="1:10" x14ac:dyDescent="0.2">
      <c r="A1194" s="93">
        <v>6002</v>
      </c>
      <c r="B1194" s="96" t="s">
        <v>863</v>
      </c>
      <c r="C1194" s="95">
        <v>2003</v>
      </c>
      <c r="D1194" s="96" t="s">
        <v>170</v>
      </c>
      <c r="E1194" s="96" t="s">
        <v>966</v>
      </c>
      <c r="F1194" s="101">
        <v>11.01</v>
      </c>
      <c r="G1194" s="103"/>
      <c r="H1194" s="104"/>
      <c r="I1194" s="101">
        <v>10.3</v>
      </c>
      <c r="J1194" s="99">
        <f>Table336789101112131415[[#This Row],[Sched C/ County/ State]]-Table336789101112131415[[#This Row],[2025 Rate]]</f>
        <v>0.71</v>
      </c>
    </row>
    <row r="1195" spans="1:10" x14ac:dyDescent="0.2">
      <c r="A1195" s="93">
        <v>6003</v>
      </c>
      <c r="B1195" s="96" t="s">
        <v>863</v>
      </c>
      <c r="C1195" s="95">
        <v>2003</v>
      </c>
      <c r="D1195" s="96" t="s">
        <v>170</v>
      </c>
      <c r="E1195" s="96" t="s">
        <v>966</v>
      </c>
      <c r="F1195" s="101">
        <v>11.01</v>
      </c>
      <c r="G1195" s="103"/>
      <c r="H1195" s="104"/>
      <c r="I1195" s="101">
        <v>10.3</v>
      </c>
      <c r="J1195" s="99">
        <f>Table336789101112131415[[#This Row],[Sched C/ County/ State]]-Table336789101112131415[[#This Row],[2025 Rate]]</f>
        <v>0.71</v>
      </c>
    </row>
    <row r="1196" spans="1:10" x14ac:dyDescent="0.2">
      <c r="A1196" s="93">
        <v>6006</v>
      </c>
      <c r="B1196" s="96" t="s">
        <v>863</v>
      </c>
      <c r="C1196" s="95">
        <v>2003</v>
      </c>
      <c r="D1196" s="96" t="s">
        <v>170</v>
      </c>
      <c r="E1196" s="96" t="s">
        <v>965</v>
      </c>
      <c r="F1196" s="101">
        <v>11.01</v>
      </c>
      <c r="G1196" s="103"/>
      <c r="H1196" s="104"/>
      <c r="I1196" s="101">
        <v>10.3</v>
      </c>
      <c r="J1196" s="99">
        <f>Table336789101112131415[[#This Row],[Sched C/ County/ State]]-Table336789101112131415[[#This Row],[2025 Rate]]</f>
        <v>0.71</v>
      </c>
    </row>
    <row r="1197" spans="1:10" x14ac:dyDescent="0.2">
      <c r="A1197" s="93">
        <v>6008</v>
      </c>
      <c r="B1197" s="96" t="s">
        <v>863</v>
      </c>
      <c r="C1197" s="95">
        <v>2003</v>
      </c>
      <c r="D1197" s="96" t="s">
        <v>170</v>
      </c>
      <c r="E1197" s="96" t="s">
        <v>966</v>
      </c>
      <c r="F1197" s="101">
        <v>11.01</v>
      </c>
      <c r="G1197" s="103"/>
      <c r="H1197" s="104"/>
      <c r="I1197" s="101">
        <v>10.3</v>
      </c>
      <c r="J1197" s="99">
        <f>Table336789101112131415[[#This Row],[Sched C/ County/ State]]-Table336789101112131415[[#This Row],[2025 Rate]]</f>
        <v>0.71</v>
      </c>
    </row>
    <row r="1198" spans="1:10" x14ac:dyDescent="0.2">
      <c r="A1198" s="93">
        <v>6027</v>
      </c>
      <c r="B1198" s="96" t="s">
        <v>863</v>
      </c>
      <c r="C1198" s="95">
        <v>2008</v>
      </c>
      <c r="F1198" s="101">
        <v>11.01</v>
      </c>
      <c r="G1198" s="103"/>
      <c r="H1198" s="104"/>
      <c r="I1198" s="101">
        <v>10.3</v>
      </c>
      <c r="J1198" s="99">
        <f>Table336789101112131415[[#This Row],[Sched C/ County/ State]]-Table336789101112131415[[#This Row],[2025 Rate]]</f>
        <v>0.71</v>
      </c>
    </row>
    <row r="1199" spans="1:10" x14ac:dyDescent="0.2">
      <c r="A1199" s="93">
        <v>6031</v>
      </c>
      <c r="B1199" s="96" t="s">
        <v>863</v>
      </c>
      <c r="C1199" s="95">
        <v>2008</v>
      </c>
      <c r="F1199" s="101">
        <v>11.01</v>
      </c>
      <c r="G1199" s="103"/>
      <c r="H1199" s="104"/>
      <c r="I1199" s="101">
        <v>10.3</v>
      </c>
      <c r="J1199" s="99">
        <f>Table336789101112131415[[#This Row],[Sched C/ County/ State]]-Table336789101112131415[[#This Row],[2025 Rate]]</f>
        <v>0.71</v>
      </c>
    </row>
    <row r="1200" spans="1:10" x14ac:dyDescent="0.2">
      <c r="A1200" s="93">
        <v>6032</v>
      </c>
      <c r="B1200" s="96" t="s">
        <v>863</v>
      </c>
      <c r="C1200" s="95">
        <v>2009</v>
      </c>
      <c r="F1200" s="101">
        <v>11.01</v>
      </c>
      <c r="G1200" s="103"/>
      <c r="H1200" s="104"/>
      <c r="I1200" s="101">
        <v>10.3</v>
      </c>
      <c r="J1200" s="99">
        <f>Table336789101112131415[[#This Row],[Sched C/ County/ State]]-Table336789101112131415[[#This Row],[2025 Rate]]</f>
        <v>0.71</v>
      </c>
    </row>
    <row r="1201" spans="1:10" x14ac:dyDescent="0.2">
      <c r="A1201" s="93">
        <v>6033</v>
      </c>
      <c r="B1201" s="96" t="s">
        <v>863</v>
      </c>
      <c r="C1201" s="95">
        <v>2009</v>
      </c>
      <c r="D1201" s="96" t="s">
        <v>170</v>
      </c>
      <c r="E1201" s="96" t="s">
        <v>966</v>
      </c>
      <c r="F1201" s="101">
        <v>11.01</v>
      </c>
      <c r="G1201" s="103"/>
      <c r="H1201" s="104"/>
      <c r="I1201" s="101">
        <v>10.3</v>
      </c>
      <c r="J1201" s="99">
        <f>Table336789101112131415[[#This Row],[Sched C/ County/ State]]-Table336789101112131415[[#This Row],[2025 Rate]]</f>
        <v>0.71</v>
      </c>
    </row>
    <row r="1202" spans="1:10" x14ac:dyDescent="0.2">
      <c r="A1202" s="93">
        <v>6034</v>
      </c>
      <c r="B1202" s="96" t="s">
        <v>863</v>
      </c>
      <c r="C1202" s="95">
        <v>2009</v>
      </c>
      <c r="D1202" s="96" t="s">
        <v>170</v>
      </c>
      <c r="F1202" s="101">
        <v>11.01</v>
      </c>
      <c r="G1202" s="103"/>
      <c r="H1202" s="104"/>
      <c r="I1202" s="101">
        <v>10.3</v>
      </c>
      <c r="J1202" s="99">
        <f>Table336789101112131415[[#This Row],[Sched C/ County/ State]]-Table336789101112131415[[#This Row],[2025 Rate]]</f>
        <v>0.71</v>
      </c>
    </row>
    <row r="1203" spans="1:10" x14ac:dyDescent="0.2">
      <c r="A1203" s="93">
        <v>6035</v>
      </c>
      <c r="B1203" s="96" t="s">
        <v>863</v>
      </c>
      <c r="C1203" s="95">
        <v>2009</v>
      </c>
      <c r="D1203" s="96" t="s">
        <v>170</v>
      </c>
      <c r="E1203" s="96" t="s">
        <v>966</v>
      </c>
      <c r="F1203" s="101">
        <v>11.01</v>
      </c>
      <c r="G1203" s="103"/>
      <c r="H1203" s="104"/>
      <c r="I1203" s="101">
        <v>10.3</v>
      </c>
      <c r="J1203" s="99">
        <f>Table336789101112131415[[#This Row],[Sched C/ County/ State]]-Table336789101112131415[[#This Row],[2025 Rate]]</f>
        <v>0.71</v>
      </c>
    </row>
    <row r="1204" spans="1:10" x14ac:dyDescent="0.2">
      <c r="A1204" s="93">
        <v>6036</v>
      </c>
      <c r="B1204" s="96" t="s">
        <v>863</v>
      </c>
      <c r="C1204" s="95">
        <v>2009</v>
      </c>
      <c r="D1204" s="96" t="s">
        <v>170</v>
      </c>
      <c r="F1204" s="101">
        <v>11.01</v>
      </c>
      <c r="G1204" s="103"/>
      <c r="H1204" s="104"/>
      <c r="I1204" s="101">
        <v>10.3</v>
      </c>
      <c r="J1204" s="99">
        <f>Table336789101112131415[[#This Row],[Sched C/ County/ State]]-Table336789101112131415[[#This Row],[2025 Rate]]</f>
        <v>0.71</v>
      </c>
    </row>
    <row r="1205" spans="1:10" x14ac:dyDescent="0.2">
      <c r="A1205" s="93">
        <v>6037</v>
      </c>
      <c r="B1205" s="94" t="s">
        <v>863</v>
      </c>
      <c r="C1205" s="95">
        <v>2018</v>
      </c>
      <c r="D1205" s="96" t="s">
        <v>170</v>
      </c>
      <c r="E1205" s="96" t="s">
        <v>967</v>
      </c>
      <c r="F1205" s="101">
        <v>11.01</v>
      </c>
      <c r="G1205" s="103"/>
      <c r="H1205" s="104"/>
      <c r="I1205" s="101">
        <v>10.3</v>
      </c>
      <c r="J1205" s="99">
        <f>Table336789101112131415[[#This Row],[Sched C/ County/ State]]-Table336789101112131415[[#This Row],[2025 Rate]]</f>
        <v>0.71</v>
      </c>
    </row>
    <row r="1206" spans="1:10" x14ac:dyDescent="0.2">
      <c r="A1206" s="93">
        <v>6038</v>
      </c>
      <c r="B1206" s="94" t="s">
        <v>863</v>
      </c>
      <c r="C1206" s="95">
        <v>2018</v>
      </c>
      <c r="D1206" s="96" t="s">
        <v>170</v>
      </c>
      <c r="E1206" s="96" t="s">
        <v>967</v>
      </c>
      <c r="F1206" s="101">
        <v>11.01</v>
      </c>
      <c r="G1206" s="103"/>
      <c r="H1206" s="104"/>
      <c r="I1206" s="101">
        <v>10.3</v>
      </c>
      <c r="J1206" s="99">
        <f>Table336789101112131415[[#This Row],[Sched C/ County/ State]]-Table336789101112131415[[#This Row],[2025 Rate]]</f>
        <v>0.71</v>
      </c>
    </row>
    <row r="1207" spans="1:10" x14ac:dyDescent="0.2">
      <c r="A1207" s="93">
        <v>6065</v>
      </c>
      <c r="B1207" s="94" t="s">
        <v>863</v>
      </c>
      <c r="C1207" s="95">
        <v>2019</v>
      </c>
      <c r="D1207" s="96" t="s">
        <v>349</v>
      </c>
      <c r="E1207" s="96" t="s">
        <v>968</v>
      </c>
      <c r="F1207" s="101">
        <v>11.01</v>
      </c>
      <c r="G1207" s="103"/>
      <c r="H1207" s="104"/>
      <c r="I1207" s="101">
        <v>10.3</v>
      </c>
      <c r="J1207" s="99">
        <f>Table336789101112131415[[#This Row],[Sched C/ County/ State]]-Table336789101112131415[[#This Row],[2025 Rate]]</f>
        <v>0.71</v>
      </c>
    </row>
    <row r="1208" spans="1:10" x14ac:dyDescent="0.2">
      <c r="A1208" s="93">
        <v>6066</v>
      </c>
      <c r="B1208" s="94" t="s">
        <v>863</v>
      </c>
      <c r="C1208" s="95">
        <v>2019</v>
      </c>
      <c r="D1208" s="96" t="s">
        <v>349</v>
      </c>
      <c r="E1208" s="96" t="s">
        <v>968</v>
      </c>
      <c r="F1208" s="101">
        <v>11.01</v>
      </c>
      <c r="G1208" s="103"/>
      <c r="H1208" s="104"/>
      <c r="I1208" s="101">
        <v>10.3</v>
      </c>
      <c r="J1208" s="99">
        <f>Table336789101112131415[[#This Row],[Sched C/ County/ State]]-Table336789101112131415[[#This Row],[2025 Rate]]</f>
        <v>0.71</v>
      </c>
    </row>
    <row r="1209" spans="1:10" x14ac:dyDescent="0.2">
      <c r="A1209" s="93">
        <v>6067</v>
      </c>
      <c r="B1209" s="94" t="s">
        <v>863</v>
      </c>
      <c r="C1209" s="95">
        <v>2020</v>
      </c>
      <c r="D1209" s="96" t="s">
        <v>349</v>
      </c>
      <c r="E1209" s="96" t="s">
        <v>968</v>
      </c>
      <c r="F1209" s="101">
        <v>11.01</v>
      </c>
      <c r="G1209" s="103"/>
      <c r="H1209" s="104"/>
      <c r="I1209" s="101">
        <v>10.3</v>
      </c>
      <c r="J1209" s="99">
        <f>Table336789101112131415[[#This Row],[Sched C/ County/ State]]-Table336789101112131415[[#This Row],[2025 Rate]]</f>
        <v>0.71</v>
      </c>
    </row>
    <row r="1210" spans="1:10" x14ac:dyDescent="0.2">
      <c r="A1210" s="93">
        <v>6104</v>
      </c>
      <c r="B1210" s="94" t="s">
        <v>863</v>
      </c>
      <c r="C1210" s="95">
        <v>2019</v>
      </c>
      <c r="D1210" s="96" t="s">
        <v>170</v>
      </c>
      <c r="E1210" s="96" t="s">
        <v>967</v>
      </c>
      <c r="F1210" s="101">
        <v>11.01</v>
      </c>
      <c r="G1210" s="103"/>
      <c r="H1210" s="104"/>
      <c r="I1210" s="101">
        <v>10.3</v>
      </c>
      <c r="J1210" s="99">
        <f>Table336789101112131415[[#This Row],[Sched C/ County/ State]]-Table336789101112131415[[#This Row],[2025 Rate]]</f>
        <v>0.71</v>
      </c>
    </row>
    <row r="1211" spans="1:10" x14ac:dyDescent="0.2">
      <c r="A1211" s="93">
        <v>6107</v>
      </c>
      <c r="B1211" s="94" t="s">
        <v>863</v>
      </c>
      <c r="C1211" s="95">
        <v>2019</v>
      </c>
      <c r="D1211" s="96" t="s">
        <v>170</v>
      </c>
      <c r="E1211" s="96" t="s">
        <v>967</v>
      </c>
      <c r="F1211" s="101">
        <v>11.01</v>
      </c>
      <c r="G1211" s="103"/>
      <c r="H1211" s="104"/>
      <c r="I1211" s="101">
        <v>10.3</v>
      </c>
      <c r="J1211" s="99">
        <f>Table336789101112131415[[#This Row],[Sched C/ County/ State]]-Table336789101112131415[[#This Row],[2025 Rate]]</f>
        <v>0.71</v>
      </c>
    </row>
    <row r="1212" spans="1:10" x14ac:dyDescent="0.2">
      <c r="A1212" s="93">
        <v>6108</v>
      </c>
      <c r="B1212" s="94" t="s">
        <v>863</v>
      </c>
      <c r="C1212" s="95">
        <v>2019</v>
      </c>
      <c r="D1212" s="96" t="s">
        <v>170</v>
      </c>
      <c r="E1212" s="96" t="s">
        <v>967</v>
      </c>
      <c r="F1212" s="101">
        <v>11.01</v>
      </c>
      <c r="G1212" s="103"/>
      <c r="H1212" s="104"/>
      <c r="I1212" s="101">
        <v>10.3</v>
      </c>
      <c r="J1212" s="99">
        <f>Table336789101112131415[[#This Row],[Sched C/ County/ State]]-Table336789101112131415[[#This Row],[2025 Rate]]</f>
        <v>0.71</v>
      </c>
    </row>
    <row r="1213" spans="1:10" x14ac:dyDescent="0.2">
      <c r="A1213" s="93">
        <v>6109</v>
      </c>
      <c r="B1213" s="94" t="s">
        <v>863</v>
      </c>
      <c r="C1213" s="95">
        <v>2019</v>
      </c>
      <c r="D1213" s="96" t="s">
        <v>170</v>
      </c>
      <c r="E1213" s="96" t="s">
        <v>967</v>
      </c>
      <c r="F1213" s="101">
        <v>11.01</v>
      </c>
      <c r="G1213" s="103"/>
      <c r="H1213" s="104"/>
      <c r="I1213" s="101">
        <v>10.3</v>
      </c>
      <c r="J1213" s="99">
        <f>Table336789101112131415[[#This Row],[Sched C/ County/ State]]-Table336789101112131415[[#This Row],[2025 Rate]]</f>
        <v>0.71</v>
      </c>
    </row>
    <row r="1214" spans="1:10" x14ac:dyDescent="0.2">
      <c r="A1214" s="93">
        <v>6116</v>
      </c>
      <c r="B1214" s="94" t="s">
        <v>863</v>
      </c>
      <c r="C1214" s="95">
        <v>2020</v>
      </c>
      <c r="D1214" s="96" t="s">
        <v>170</v>
      </c>
      <c r="E1214" s="96" t="s">
        <v>967</v>
      </c>
      <c r="F1214" s="101">
        <v>11.01</v>
      </c>
      <c r="G1214" s="103"/>
      <c r="H1214" s="104"/>
      <c r="I1214" s="101">
        <v>10.3</v>
      </c>
      <c r="J1214" s="99">
        <f>Table336789101112131415[[#This Row],[Sched C/ County/ State]]-Table336789101112131415[[#This Row],[2025 Rate]]</f>
        <v>0.71</v>
      </c>
    </row>
    <row r="1215" spans="1:10" x14ac:dyDescent="0.2">
      <c r="A1215" s="93">
        <v>6121</v>
      </c>
      <c r="B1215" s="94" t="s">
        <v>863</v>
      </c>
      <c r="C1215" s="95">
        <v>2020</v>
      </c>
      <c r="D1215" s="96" t="s">
        <v>170</v>
      </c>
      <c r="E1215" s="96" t="s">
        <v>967</v>
      </c>
      <c r="F1215" s="101">
        <v>11.01</v>
      </c>
      <c r="G1215" s="103"/>
      <c r="H1215" s="104"/>
      <c r="I1215" s="101">
        <v>10.3</v>
      </c>
      <c r="J1215" s="99">
        <f>Table336789101112131415[[#This Row],[Sched C/ County/ State]]-Table336789101112131415[[#This Row],[2025 Rate]]</f>
        <v>0.71</v>
      </c>
    </row>
    <row r="1216" spans="1:10" x14ac:dyDescent="0.2">
      <c r="A1216" s="93">
        <v>6122</v>
      </c>
      <c r="B1216" s="94" t="s">
        <v>863</v>
      </c>
      <c r="C1216" s="95">
        <v>2020</v>
      </c>
      <c r="D1216" s="96" t="s">
        <v>170</v>
      </c>
      <c r="E1216" s="96" t="s">
        <v>967</v>
      </c>
      <c r="F1216" s="101">
        <v>11.01</v>
      </c>
      <c r="G1216" s="103"/>
      <c r="H1216" s="104"/>
      <c r="I1216" s="101">
        <v>10.3</v>
      </c>
      <c r="J1216" s="99">
        <f>Table336789101112131415[[#This Row],[Sched C/ County/ State]]-Table336789101112131415[[#This Row],[2025 Rate]]</f>
        <v>0.71</v>
      </c>
    </row>
    <row r="1217" spans="1:10" x14ac:dyDescent="0.2">
      <c r="A1217" s="93">
        <v>6123</v>
      </c>
      <c r="B1217" s="94" t="s">
        <v>863</v>
      </c>
      <c r="C1217" s="95">
        <v>2020</v>
      </c>
      <c r="D1217" s="96" t="s">
        <v>170</v>
      </c>
      <c r="E1217" s="96" t="s">
        <v>967</v>
      </c>
      <c r="F1217" s="101">
        <v>11.01</v>
      </c>
      <c r="G1217" s="103"/>
      <c r="H1217" s="104"/>
      <c r="I1217" s="101">
        <v>10.3</v>
      </c>
      <c r="J1217" s="99">
        <f>Table336789101112131415[[#This Row],[Sched C/ County/ State]]-Table336789101112131415[[#This Row],[2025 Rate]]</f>
        <v>0.71</v>
      </c>
    </row>
    <row r="1218" spans="1:10" ht="30" x14ac:dyDescent="0.2">
      <c r="A1218" s="93">
        <v>7000</v>
      </c>
      <c r="B1218" s="96" t="s">
        <v>554</v>
      </c>
      <c r="C1218" s="95">
        <v>2003</v>
      </c>
      <c r="D1218" s="96" t="s">
        <v>170</v>
      </c>
      <c r="E1218" s="96" t="s">
        <v>969</v>
      </c>
      <c r="F1218" s="101">
        <v>7.94</v>
      </c>
      <c r="G1218" s="103"/>
      <c r="H1218" s="104"/>
      <c r="I1218" s="101">
        <v>7.36</v>
      </c>
      <c r="J1218" s="99">
        <f>Table336789101112131415[[#This Row],[Sched C/ County/ State]]-Table336789101112131415[[#This Row],[2025 Rate]]</f>
        <v>0.57999999999999996</v>
      </c>
    </row>
    <row r="1219" spans="1:10" ht="30" x14ac:dyDescent="0.2">
      <c r="A1219" s="93">
        <v>7007</v>
      </c>
      <c r="B1219" s="96" t="s">
        <v>554</v>
      </c>
      <c r="C1219" s="95">
        <v>2003</v>
      </c>
      <c r="D1219" s="96" t="s">
        <v>170</v>
      </c>
      <c r="E1219" s="96" t="s">
        <v>969</v>
      </c>
      <c r="F1219" s="101">
        <v>7.94</v>
      </c>
      <c r="G1219" s="103"/>
      <c r="H1219" s="104"/>
      <c r="I1219" s="101">
        <v>7.36</v>
      </c>
      <c r="J1219" s="99">
        <f>Table336789101112131415[[#This Row],[Sched C/ County/ State]]-Table336789101112131415[[#This Row],[2025 Rate]]</f>
        <v>0.57999999999999996</v>
      </c>
    </row>
    <row r="1220" spans="1:10" x14ac:dyDescent="0.2">
      <c r="A1220" s="93">
        <v>7026</v>
      </c>
      <c r="B1220" s="96" t="s">
        <v>970</v>
      </c>
      <c r="C1220" s="95">
        <v>2008</v>
      </c>
      <c r="F1220" s="101">
        <v>13.86</v>
      </c>
      <c r="G1220" s="103"/>
      <c r="H1220" s="104"/>
      <c r="I1220" s="101">
        <v>12.97</v>
      </c>
      <c r="J1220" s="99">
        <f>Table336789101112131415[[#This Row],[Sched C/ County/ State]]-Table336789101112131415[[#This Row],[2025 Rate]]</f>
        <v>0.89</v>
      </c>
    </row>
    <row r="1221" spans="1:10" x14ac:dyDescent="0.2">
      <c r="A1221" s="93">
        <v>7027</v>
      </c>
      <c r="B1221" s="96" t="s">
        <v>971</v>
      </c>
      <c r="C1221" s="95">
        <v>2008</v>
      </c>
      <c r="F1221" s="101">
        <v>13.86</v>
      </c>
      <c r="G1221" s="103"/>
      <c r="H1221" s="104"/>
      <c r="I1221" s="101">
        <v>12.97</v>
      </c>
      <c r="J1221" s="99">
        <f>Table336789101112131415[[#This Row],[Sched C/ County/ State]]-Table336789101112131415[[#This Row],[2025 Rate]]</f>
        <v>0.89</v>
      </c>
    </row>
    <row r="1222" spans="1:10" x14ac:dyDescent="0.2">
      <c r="A1222" s="93">
        <v>7031</v>
      </c>
      <c r="B1222" s="96" t="s">
        <v>972</v>
      </c>
      <c r="C1222" s="95">
        <v>2008</v>
      </c>
      <c r="F1222" s="101">
        <v>13.86</v>
      </c>
      <c r="G1222" s="103"/>
      <c r="H1222" s="104"/>
      <c r="I1222" s="101">
        <v>12.97</v>
      </c>
      <c r="J1222" s="99">
        <f>Table336789101112131415[[#This Row],[Sched C/ County/ State]]-Table336789101112131415[[#This Row],[2025 Rate]]</f>
        <v>0.89</v>
      </c>
    </row>
    <row r="1223" spans="1:10" x14ac:dyDescent="0.2">
      <c r="A1223" s="93">
        <v>7032</v>
      </c>
      <c r="B1223" s="96" t="s">
        <v>970</v>
      </c>
      <c r="C1223" s="95">
        <v>2009</v>
      </c>
      <c r="F1223" s="101">
        <v>13.86</v>
      </c>
      <c r="G1223" s="103"/>
      <c r="H1223" s="104"/>
      <c r="I1223" s="101">
        <v>12.97</v>
      </c>
      <c r="J1223" s="99">
        <f>Table336789101112131415[[#This Row],[Sched C/ County/ State]]-Table336789101112131415[[#This Row],[2025 Rate]]</f>
        <v>0.89</v>
      </c>
    </row>
    <row r="1224" spans="1:10" x14ac:dyDescent="0.2">
      <c r="A1224" s="93">
        <v>7033</v>
      </c>
      <c r="B1224" s="96" t="s">
        <v>970</v>
      </c>
      <c r="C1224" s="95">
        <v>2009</v>
      </c>
      <c r="D1224" s="96" t="s">
        <v>170</v>
      </c>
      <c r="F1224" s="101">
        <v>13.86</v>
      </c>
      <c r="G1224" s="103"/>
      <c r="H1224" s="104"/>
      <c r="I1224" s="101">
        <v>12.97</v>
      </c>
      <c r="J1224" s="99">
        <f>Table336789101112131415[[#This Row],[Sched C/ County/ State]]-Table336789101112131415[[#This Row],[2025 Rate]]</f>
        <v>0.89</v>
      </c>
    </row>
    <row r="1225" spans="1:10" x14ac:dyDescent="0.2">
      <c r="A1225" s="93">
        <v>7034</v>
      </c>
      <c r="B1225" s="96" t="s">
        <v>970</v>
      </c>
      <c r="C1225" s="95">
        <v>2009</v>
      </c>
      <c r="F1225" s="101">
        <v>13.86</v>
      </c>
      <c r="G1225" s="103"/>
      <c r="H1225" s="104"/>
      <c r="I1225" s="101">
        <v>12.97</v>
      </c>
      <c r="J1225" s="99">
        <f>Table336789101112131415[[#This Row],[Sched C/ County/ State]]-Table336789101112131415[[#This Row],[2025 Rate]]</f>
        <v>0.89</v>
      </c>
    </row>
    <row r="1226" spans="1:10" ht="30" x14ac:dyDescent="0.2">
      <c r="A1226" s="93">
        <v>7035</v>
      </c>
      <c r="B1226" s="96" t="s">
        <v>970</v>
      </c>
      <c r="C1226" s="95">
        <v>2009</v>
      </c>
      <c r="D1226" s="96" t="s">
        <v>170</v>
      </c>
      <c r="E1226" s="96" t="s">
        <v>973</v>
      </c>
      <c r="F1226" s="101">
        <v>13.86</v>
      </c>
      <c r="G1226" s="103"/>
      <c r="H1226" s="104"/>
      <c r="I1226" s="101">
        <v>12.97</v>
      </c>
      <c r="J1226" s="99">
        <f>Table336789101112131415[[#This Row],[Sched C/ County/ State]]-Table336789101112131415[[#This Row],[2025 Rate]]</f>
        <v>0.89</v>
      </c>
    </row>
    <row r="1227" spans="1:10" x14ac:dyDescent="0.2">
      <c r="A1227" s="93">
        <v>7036</v>
      </c>
      <c r="B1227" s="96" t="s">
        <v>970</v>
      </c>
      <c r="C1227" s="95">
        <v>2009</v>
      </c>
      <c r="D1227" s="96" t="s">
        <v>170</v>
      </c>
      <c r="F1227" s="101">
        <v>13.86</v>
      </c>
      <c r="G1227" s="103"/>
      <c r="H1227" s="104"/>
      <c r="I1227" s="101">
        <v>12.97</v>
      </c>
      <c r="J1227" s="99">
        <f>Table336789101112131415[[#This Row],[Sched C/ County/ State]]-Table336789101112131415[[#This Row],[2025 Rate]]</f>
        <v>0.89</v>
      </c>
    </row>
    <row r="1228" spans="1:10" ht="30" x14ac:dyDescent="0.2">
      <c r="A1228" s="93">
        <v>7037</v>
      </c>
      <c r="B1228" s="96" t="s">
        <v>974</v>
      </c>
      <c r="C1228" s="95">
        <v>2009</v>
      </c>
      <c r="F1228" s="101">
        <v>18.059999999999999</v>
      </c>
      <c r="G1228" s="103"/>
      <c r="H1228" s="104"/>
      <c r="I1228" s="101">
        <v>16.899999999999999</v>
      </c>
      <c r="J1228" s="99">
        <f>Table336789101112131415[[#This Row],[Sched C/ County/ State]]-Table336789101112131415[[#This Row],[2025 Rate]]</f>
        <v>1.1599999999999999</v>
      </c>
    </row>
    <row r="1229" spans="1:10" ht="30" x14ac:dyDescent="0.2">
      <c r="A1229" s="93">
        <v>7038</v>
      </c>
      <c r="B1229" s="96" t="s">
        <v>974</v>
      </c>
      <c r="C1229" s="95">
        <v>2009</v>
      </c>
      <c r="D1229" s="96" t="s">
        <v>170</v>
      </c>
      <c r="E1229" s="96" t="s">
        <v>975</v>
      </c>
      <c r="F1229" s="101">
        <v>18.059999999999999</v>
      </c>
      <c r="G1229" s="103"/>
      <c r="H1229" s="104"/>
      <c r="I1229" s="101">
        <v>16.899999999999999</v>
      </c>
      <c r="J1229" s="99">
        <f>Table336789101112131415[[#This Row],[Sched C/ County/ State]]-Table336789101112131415[[#This Row],[2025 Rate]]</f>
        <v>1.1599999999999999</v>
      </c>
    </row>
    <row r="1230" spans="1:10" ht="30" x14ac:dyDescent="0.2">
      <c r="A1230" s="93">
        <v>7039</v>
      </c>
      <c r="B1230" s="96" t="s">
        <v>974</v>
      </c>
      <c r="C1230" s="95">
        <v>2009</v>
      </c>
      <c r="D1230" s="96" t="s">
        <v>170</v>
      </c>
      <c r="F1230" s="101">
        <v>18.059999999999999</v>
      </c>
      <c r="G1230" s="103"/>
      <c r="H1230" s="104"/>
      <c r="I1230" s="101">
        <v>16.899999999999999</v>
      </c>
      <c r="J1230" s="99">
        <f>Table336789101112131415[[#This Row],[Sched C/ County/ State]]-Table336789101112131415[[#This Row],[2025 Rate]]</f>
        <v>1.1599999999999999</v>
      </c>
    </row>
    <row r="1231" spans="1:10" ht="30" x14ac:dyDescent="0.2">
      <c r="A1231" s="93">
        <v>7040</v>
      </c>
      <c r="B1231" s="96" t="s">
        <v>974</v>
      </c>
      <c r="C1231" s="95">
        <v>2009</v>
      </c>
      <c r="D1231" s="96" t="s">
        <v>170</v>
      </c>
      <c r="F1231" s="101">
        <v>18.059999999999999</v>
      </c>
      <c r="G1231" s="103"/>
      <c r="H1231" s="104"/>
      <c r="I1231" s="101">
        <v>16.899999999999999</v>
      </c>
      <c r="J1231" s="99">
        <f>Table336789101112131415[[#This Row],[Sched C/ County/ State]]-Table336789101112131415[[#This Row],[2025 Rate]]</f>
        <v>1.1599999999999999</v>
      </c>
    </row>
    <row r="1232" spans="1:10" ht="30" x14ac:dyDescent="0.2">
      <c r="A1232" s="93">
        <v>7041</v>
      </c>
      <c r="B1232" s="96" t="s">
        <v>974</v>
      </c>
      <c r="C1232" s="95">
        <v>2009</v>
      </c>
      <c r="D1232" s="96" t="s">
        <v>930</v>
      </c>
      <c r="E1232" s="96" t="s">
        <v>976</v>
      </c>
      <c r="F1232" s="101">
        <v>18.059999999999999</v>
      </c>
      <c r="G1232" s="103"/>
      <c r="H1232" s="104"/>
      <c r="I1232" s="101">
        <v>16.899999999999999</v>
      </c>
      <c r="J1232" s="99">
        <f>Table336789101112131415[[#This Row],[Sched C/ County/ State]]-Table336789101112131415[[#This Row],[2025 Rate]]</f>
        <v>1.1599999999999999</v>
      </c>
    </row>
    <row r="1233" spans="1:10" ht="30" x14ac:dyDescent="0.2">
      <c r="A1233" s="93">
        <v>7042</v>
      </c>
      <c r="B1233" s="96" t="s">
        <v>974</v>
      </c>
      <c r="C1233" s="95">
        <v>2010</v>
      </c>
      <c r="D1233" s="96" t="s">
        <v>170</v>
      </c>
      <c r="E1233" s="96" t="s">
        <v>977</v>
      </c>
      <c r="F1233" s="101">
        <v>18.059999999999999</v>
      </c>
      <c r="G1233" s="103"/>
      <c r="H1233" s="104"/>
      <c r="I1233" s="101">
        <v>16.899999999999999</v>
      </c>
      <c r="J1233" s="99">
        <f>Table336789101112131415[[#This Row],[Sched C/ County/ State]]-Table336789101112131415[[#This Row],[2025 Rate]]</f>
        <v>1.1599999999999999</v>
      </c>
    </row>
    <row r="1234" spans="1:10" ht="30" x14ac:dyDescent="0.2">
      <c r="A1234" s="93">
        <v>7043</v>
      </c>
      <c r="B1234" s="96" t="s">
        <v>974</v>
      </c>
      <c r="C1234" s="95">
        <v>2010</v>
      </c>
      <c r="D1234" s="96" t="s">
        <v>170</v>
      </c>
      <c r="E1234" s="96" t="s">
        <v>978</v>
      </c>
      <c r="F1234" s="101">
        <v>18.059999999999999</v>
      </c>
      <c r="G1234" s="103"/>
      <c r="H1234" s="104"/>
      <c r="I1234" s="101">
        <v>16.899999999999999</v>
      </c>
      <c r="J1234" s="99">
        <f>Table336789101112131415[[#This Row],[Sched C/ County/ State]]-Table336789101112131415[[#This Row],[2025 Rate]]</f>
        <v>1.1599999999999999</v>
      </c>
    </row>
    <row r="1235" spans="1:10" ht="30" x14ac:dyDescent="0.2">
      <c r="A1235" s="93">
        <v>7044</v>
      </c>
      <c r="B1235" s="96" t="s">
        <v>974</v>
      </c>
      <c r="C1235" s="95">
        <v>2010</v>
      </c>
      <c r="D1235" s="96" t="s">
        <v>170</v>
      </c>
      <c r="E1235" s="96" t="s">
        <v>979</v>
      </c>
      <c r="F1235" s="101">
        <v>18.059999999999999</v>
      </c>
      <c r="G1235" s="103"/>
      <c r="H1235" s="104"/>
      <c r="I1235" s="101">
        <v>16.899999999999999</v>
      </c>
      <c r="J1235" s="99">
        <f>Table336789101112131415[[#This Row],[Sched C/ County/ State]]-Table336789101112131415[[#This Row],[2025 Rate]]</f>
        <v>1.1599999999999999</v>
      </c>
    </row>
    <row r="1236" spans="1:10" ht="30" x14ac:dyDescent="0.2">
      <c r="A1236" s="93">
        <v>7045</v>
      </c>
      <c r="B1236" s="96" t="s">
        <v>974</v>
      </c>
      <c r="C1236" s="95">
        <v>2010</v>
      </c>
      <c r="D1236" s="96" t="s">
        <v>170</v>
      </c>
      <c r="E1236" s="96" t="s">
        <v>979</v>
      </c>
      <c r="F1236" s="101">
        <v>18.059999999999999</v>
      </c>
      <c r="G1236" s="103"/>
      <c r="H1236" s="104"/>
      <c r="I1236" s="101">
        <v>16.899999999999999</v>
      </c>
      <c r="J1236" s="99">
        <f>Table336789101112131415[[#This Row],[Sched C/ County/ State]]-Table336789101112131415[[#This Row],[2025 Rate]]</f>
        <v>1.1599999999999999</v>
      </c>
    </row>
    <row r="1237" spans="1:10" ht="30" x14ac:dyDescent="0.2">
      <c r="A1237" s="93">
        <v>7046</v>
      </c>
      <c r="B1237" s="96" t="s">
        <v>974</v>
      </c>
      <c r="C1237" s="95">
        <v>2010</v>
      </c>
      <c r="D1237" s="96" t="s">
        <v>170</v>
      </c>
      <c r="E1237" s="96" t="s">
        <v>978</v>
      </c>
      <c r="F1237" s="101">
        <v>18.059999999999999</v>
      </c>
      <c r="G1237" s="103"/>
      <c r="H1237" s="104"/>
      <c r="I1237" s="101">
        <v>16.899999999999999</v>
      </c>
      <c r="J1237" s="99">
        <f>Table336789101112131415[[#This Row],[Sched C/ County/ State]]-Table336789101112131415[[#This Row],[2025 Rate]]</f>
        <v>1.1599999999999999</v>
      </c>
    </row>
    <row r="1238" spans="1:10" ht="30" x14ac:dyDescent="0.2">
      <c r="A1238" s="93">
        <v>7047</v>
      </c>
      <c r="B1238" s="96" t="s">
        <v>970</v>
      </c>
      <c r="C1238" s="95">
        <v>2012</v>
      </c>
      <c r="D1238" s="96" t="s">
        <v>170</v>
      </c>
      <c r="E1238" s="96" t="s">
        <v>980</v>
      </c>
      <c r="F1238" s="101">
        <v>13.86</v>
      </c>
      <c r="G1238" s="103"/>
      <c r="H1238" s="104"/>
      <c r="I1238" s="101">
        <v>12.97</v>
      </c>
      <c r="J1238" s="99">
        <f>Table336789101112131415[[#This Row],[Sched C/ County/ State]]-Table336789101112131415[[#This Row],[2025 Rate]]</f>
        <v>0.89</v>
      </c>
    </row>
    <row r="1239" spans="1:10" ht="30" x14ac:dyDescent="0.2">
      <c r="A1239" s="93">
        <v>7048</v>
      </c>
      <c r="B1239" s="96" t="s">
        <v>970</v>
      </c>
      <c r="C1239" s="95">
        <v>2012</v>
      </c>
      <c r="D1239" s="96" t="s">
        <v>170</v>
      </c>
      <c r="E1239" s="96" t="s">
        <v>981</v>
      </c>
      <c r="F1239" s="101">
        <v>13.86</v>
      </c>
      <c r="G1239" s="103"/>
      <c r="H1239" s="104"/>
      <c r="I1239" s="101">
        <v>12.97</v>
      </c>
      <c r="J1239" s="99">
        <f>Table336789101112131415[[#This Row],[Sched C/ County/ State]]-Table336789101112131415[[#This Row],[2025 Rate]]</f>
        <v>0.89</v>
      </c>
    </row>
    <row r="1240" spans="1:10" ht="30" x14ac:dyDescent="0.2">
      <c r="A1240" s="93">
        <v>7049</v>
      </c>
      <c r="B1240" s="96" t="s">
        <v>970</v>
      </c>
      <c r="C1240" s="95">
        <v>2012</v>
      </c>
      <c r="D1240" s="96" t="s">
        <v>170</v>
      </c>
      <c r="E1240" s="96" t="s">
        <v>982</v>
      </c>
      <c r="F1240" s="101">
        <v>13.86</v>
      </c>
      <c r="G1240" s="103"/>
      <c r="H1240" s="104"/>
      <c r="I1240" s="101">
        <v>12.97</v>
      </c>
      <c r="J1240" s="99">
        <f>Table336789101112131415[[#This Row],[Sched C/ County/ State]]-Table336789101112131415[[#This Row],[2025 Rate]]</f>
        <v>0.89</v>
      </c>
    </row>
    <row r="1241" spans="1:10" ht="30" x14ac:dyDescent="0.2">
      <c r="A1241" s="93">
        <v>7050</v>
      </c>
      <c r="B1241" s="96" t="s">
        <v>970</v>
      </c>
      <c r="C1241" s="95">
        <v>2012</v>
      </c>
      <c r="D1241" s="96" t="s">
        <v>170</v>
      </c>
      <c r="E1241" s="96" t="s">
        <v>980</v>
      </c>
      <c r="F1241" s="101">
        <v>13.86</v>
      </c>
      <c r="G1241" s="103"/>
      <c r="H1241" s="104"/>
      <c r="I1241" s="101">
        <v>12.97</v>
      </c>
      <c r="J1241" s="99">
        <f>Table336789101112131415[[#This Row],[Sched C/ County/ State]]-Table336789101112131415[[#This Row],[2025 Rate]]</f>
        <v>0.89</v>
      </c>
    </row>
    <row r="1242" spans="1:10" ht="30" x14ac:dyDescent="0.2">
      <c r="A1242" s="93">
        <v>7054</v>
      </c>
      <c r="B1242" s="96" t="s">
        <v>970</v>
      </c>
      <c r="C1242" s="95">
        <v>2012</v>
      </c>
      <c r="D1242" s="96" t="s">
        <v>170</v>
      </c>
      <c r="E1242" s="96" t="s">
        <v>983</v>
      </c>
      <c r="F1242" s="101">
        <v>13.86</v>
      </c>
      <c r="G1242" s="103"/>
      <c r="H1242" s="104"/>
      <c r="I1242" s="101">
        <v>12.97</v>
      </c>
      <c r="J1242" s="99">
        <f>Table336789101112131415[[#This Row],[Sched C/ County/ State]]-Table336789101112131415[[#This Row],[2025 Rate]]</f>
        <v>0.89</v>
      </c>
    </row>
    <row r="1243" spans="1:10" x14ac:dyDescent="0.2">
      <c r="A1243" s="93">
        <v>7055</v>
      </c>
      <c r="B1243" s="96" t="s">
        <v>970</v>
      </c>
      <c r="C1243" s="95">
        <v>2012</v>
      </c>
      <c r="D1243" s="96" t="s">
        <v>170</v>
      </c>
      <c r="F1243" s="101">
        <v>13.86</v>
      </c>
      <c r="G1243" s="103"/>
      <c r="H1243" s="104"/>
      <c r="I1243" s="101">
        <v>12.97</v>
      </c>
      <c r="J1243" s="99">
        <f>Table336789101112131415[[#This Row],[Sched C/ County/ State]]-Table336789101112131415[[#This Row],[2025 Rate]]</f>
        <v>0.89</v>
      </c>
    </row>
    <row r="1244" spans="1:10" ht="30" x14ac:dyDescent="0.2">
      <c r="A1244" s="93">
        <v>7056</v>
      </c>
      <c r="B1244" s="96" t="s">
        <v>970</v>
      </c>
      <c r="C1244" s="95">
        <v>2012</v>
      </c>
      <c r="D1244" s="96" t="s">
        <v>170</v>
      </c>
      <c r="E1244" s="96" t="s">
        <v>984</v>
      </c>
      <c r="F1244" s="101">
        <v>13.86</v>
      </c>
      <c r="G1244" s="103"/>
      <c r="H1244" s="104"/>
      <c r="I1244" s="101">
        <v>12.97</v>
      </c>
      <c r="J1244" s="99">
        <f>Table336789101112131415[[#This Row],[Sched C/ County/ State]]-Table336789101112131415[[#This Row],[2025 Rate]]</f>
        <v>0.89</v>
      </c>
    </row>
    <row r="1245" spans="1:10" ht="30" x14ac:dyDescent="0.2">
      <c r="A1245" s="93">
        <v>7058</v>
      </c>
      <c r="B1245" s="96" t="s">
        <v>970</v>
      </c>
      <c r="C1245" s="95">
        <v>2014</v>
      </c>
      <c r="D1245" s="96" t="s">
        <v>170</v>
      </c>
      <c r="E1245" s="96" t="s">
        <v>984</v>
      </c>
      <c r="F1245" s="101">
        <v>13.86</v>
      </c>
      <c r="G1245" s="103"/>
      <c r="H1245" s="104"/>
      <c r="I1245" s="101">
        <v>12.97</v>
      </c>
      <c r="J1245" s="99">
        <f>Table336789101112131415[[#This Row],[Sched C/ County/ State]]-Table336789101112131415[[#This Row],[2025 Rate]]</f>
        <v>0.89</v>
      </c>
    </row>
    <row r="1246" spans="1:10" ht="30" x14ac:dyDescent="0.2">
      <c r="A1246" s="93">
        <v>7059</v>
      </c>
      <c r="B1246" s="96" t="s">
        <v>970</v>
      </c>
      <c r="C1246" s="95">
        <v>2014</v>
      </c>
      <c r="D1246" s="96" t="s">
        <v>170</v>
      </c>
      <c r="E1246" s="96" t="s">
        <v>984</v>
      </c>
      <c r="F1246" s="101">
        <v>13.86</v>
      </c>
      <c r="G1246" s="103"/>
      <c r="H1246" s="104"/>
      <c r="I1246" s="101">
        <v>12.97</v>
      </c>
      <c r="J1246" s="99">
        <f>Table336789101112131415[[#This Row],[Sched C/ County/ State]]-Table336789101112131415[[#This Row],[2025 Rate]]</f>
        <v>0.89</v>
      </c>
    </row>
    <row r="1247" spans="1:10" ht="30" x14ac:dyDescent="0.2">
      <c r="A1247" s="93">
        <v>7060</v>
      </c>
      <c r="B1247" s="96" t="s">
        <v>970</v>
      </c>
      <c r="C1247" s="95">
        <v>2013</v>
      </c>
      <c r="D1247" s="96" t="s">
        <v>170</v>
      </c>
      <c r="E1247" s="96" t="s">
        <v>984</v>
      </c>
      <c r="F1247" s="101">
        <v>13.86</v>
      </c>
      <c r="G1247" s="103"/>
      <c r="H1247" s="104"/>
      <c r="I1247" s="101">
        <v>12.97</v>
      </c>
      <c r="J1247" s="99">
        <f>Table336789101112131415[[#This Row],[Sched C/ County/ State]]-Table336789101112131415[[#This Row],[2025 Rate]]</f>
        <v>0.89</v>
      </c>
    </row>
    <row r="1248" spans="1:10" ht="30" x14ac:dyDescent="0.2">
      <c r="A1248" s="93">
        <v>7061</v>
      </c>
      <c r="B1248" s="96" t="s">
        <v>970</v>
      </c>
      <c r="C1248" s="95">
        <v>2014</v>
      </c>
      <c r="D1248" s="96" t="s">
        <v>170</v>
      </c>
      <c r="E1248" s="96" t="s">
        <v>984</v>
      </c>
      <c r="F1248" s="101">
        <v>13.86</v>
      </c>
      <c r="G1248" s="103"/>
      <c r="H1248" s="104"/>
      <c r="I1248" s="101">
        <v>12.97</v>
      </c>
      <c r="J1248" s="99">
        <f>Table336789101112131415[[#This Row],[Sched C/ County/ State]]-Table336789101112131415[[#This Row],[2025 Rate]]</f>
        <v>0.89</v>
      </c>
    </row>
    <row r="1249" spans="1:10" ht="30" x14ac:dyDescent="0.2">
      <c r="A1249" s="93">
        <v>7062</v>
      </c>
      <c r="B1249" s="94" t="s">
        <v>974</v>
      </c>
      <c r="C1249" s="95">
        <v>2016</v>
      </c>
      <c r="D1249" s="96" t="s">
        <v>170</v>
      </c>
      <c r="F1249" s="101">
        <v>18.059999999999999</v>
      </c>
      <c r="G1249" s="105"/>
      <c r="H1249" s="106"/>
      <c r="I1249" s="101">
        <v>16.899999999999999</v>
      </c>
      <c r="J1249" s="99">
        <f>Table336789101112131415[[#This Row],[Sched C/ County/ State]]-Table336789101112131415[[#This Row],[2025 Rate]]</f>
        <v>1.1599999999999999</v>
      </c>
    </row>
    <row r="1250" spans="1:10" ht="30" x14ac:dyDescent="0.2">
      <c r="A1250" s="93">
        <v>7065</v>
      </c>
      <c r="B1250" s="94" t="s">
        <v>974</v>
      </c>
      <c r="C1250" s="95">
        <v>2016</v>
      </c>
      <c r="D1250" s="96" t="s">
        <v>170</v>
      </c>
      <c r="F1250" s="101">
        <v>18.059999999999999</v>
      </c>
      <c r="G1250" s="105"/>
      <c r="H1250" s="106"/>
      <c r="I1250" s="101">
        <v>16.899999999999999</v>
      </c>
      <c r="J1250" s="99">
        <f>Table336789101112131415[[#This Row],[Sched C/ County/ State]]-Table336789101112131415[[#This Row],[2025 Rate]]</f>
        <v>1.1599999999999999</v>
      </c>
    </row>
    <row r="1251" spans="1:10" ht="30" x14ac:dyDescent="0.2">
      <c r="A1251" s="93">
        <v>7066</v>
      </c>
      <c r="B1251" s="94" t="s">
        <v>974</v>
      </c>
      <c r="C1251" s="95">
        <v>2016</v>
      </c>
      <c r="D1251" s="96" t="s">
        <v>170</v>
      </c>
      <c r="F1251" s="101">
        <v>18.059999999999999</v>
      </c>
      <c r="G1251" s="105"/>
      <c r="H1251" s="106"/>
      <c r="I1251" s="101">
        <v>16.899999999999999</v>
      </c>
      <c r="J1251" s="99">
        <f>Table336789101112131415[[#This Row],[Sched C/ County/ State]]-Table336789101112131415[[#This Row],[2025 Rate]]</f>
        <v>1.1599999999999999</v>
      </c>
    </row>
    <row r="1252" spans="1:10" ht="30" x14ac:dyDescent="0.2">
      <c r="A1252" s="93">
        <v>7302</v>
      </c>
      <c r="B1252" s="94" t="s">
        <v>985</v>
      </c>
      <c r="C1252" s="95">
        <v>2018</v>
      </c>
      <c r="D1252" s="96" t="s">
        <v>170</v>
      </c>
      <c r="E1252" s="96" t="s">
        <v>986</v>
      </c>
      <c r="F1252" s="101">
        <v>13.86</v>
      </c>
      <c r="G1252" s="105"/>
      <c r="H1252" s="106"/>
      <c r="I1252" s="101">
        <v>12.97</v>
      </c>
      <c r="J1252" s="99">
        <f>Table336789101112131415[[#This Row],[Sched C/ County/ State]]-Table336789101112131415[[#This Row],[2025 Rate]]</f>
        <v>0.89</v>
      </c>
    </row>
    <row r="1253" spans="1:10" ht="30" x14ac:dyDescent="0.2">
      <c r="A1253" s="93">
        <v>7303</v>
      </c>
      <c r="B1253" s="94" t="s">
        <v>974</v>
      </c>
      <c r="C1253" s="95">
        <v>2018</v>
      </c>
      <c r="D1253" s="96" t="s">
        <v>170</v>
      </c>
      <c r="E1253" s="96" t="s">
        <v>987</v>
      </c>
      <c r="F1253" s="101">
        <v>18.059999999999999</v>
      </c>
      <c r="G1253" s="105"/>
      <c r="H1253" s="106"/>
      <c r="I1253" s="101">
        <v>16.899999999999999</v>
      </c>
      <c r="J1253" s="99">
        <f>Table336789101112131415[[#This Row],[Sched C/ County/ State]]-Table336789101112131415[[#This Row],[2025 Rate]]</f>
        <v>1.1599999999999999</v>
      </c>
    </row>
    <row r="1254" spans="1:10" x14ac:dyDescent="0.2">
      <c r="A1254" s="93">
        <v>7304</v>
      </c>
      <c r="B1254" s="94" t="s">
        <v>970</v>
      </c>
      <c r="C1254" s="95">
        <v>2019</v>
      </c>
      <c r="D1254" s="96" t="s">
        <v>170</v>
      </c>
      <c r="E1254" s="96" t="s">
        <v>988</v>
      </c>
      <c r="F1254" s="101">
        <v>13.86</v>
      </c>
      <c r="G1254" s="105"/>
      <c r="H1254" s="106"/>
      <c r="I1254" s="101">
        <v>12.97</v>
      </c>
      <c r="J1254" s="99">
        <f>Table336789101112131415[[#This Row],[Sched C/ County/ State]]-Table336789101112131415[[#This Row],[2025 Rate]]</f>
        <v>0.89</v>
      </c>
    </row>
    <row r="1255" spans="1:10" x14ac:dyDescent="0.2">
      <c r="A1255" s="93">
        <v>7307</v>
      </c>
      <c r="B1255" s="94" t="s">
        <v>970</v>
      </c>
      <c r="C1255" s="95">
        <v>2020</v>
      </c>
      <c r="F1255" s="101">
        <v>18.059999999999999</v>
      </c>
      <c r="G1255" s="105"/>
      <c r="H1255" s="106"/>
      <c r="I1255" s="101">
        <v>16.899999999999999</v>
      </c>
      <c r="J1255" s="99">
        <f>Table336789101112131415[[#This Row],[Sched C/ County/ State]]-Table336789101112131415[[#This Row],[2025 Rate]]</f>
        <v>1.1599999999999999</v>
      </c>
    </row>
    <row r="1256" spans="1:10" x14ac:dyDescent="0.2">
      <c r="A1256" s="93">
        <v>7308</v>
      </c>
      <c r="B1256" s="94" t="s">
        <v>970</v>
      </c>
      <c r="C1256" s="95">
        <v>2019</v>
      </c>
      <c r="D1256" s="96" t="s">
        <v>170</v>
      </c>
      <c r="E1256" s="96" t="s">
        <v>988</v>
      </c>
      <c r="F1256" s="101">
        <v>13.86</v>
      </c>
      <c r="G1256" s="105"/>
      <c r="H1256" s="106"/>
      <c r="I1256" s="101">
        <v>12.97</v>
      </c>
      <c r="J1256" s="99">
        <f>Table336789101112131415[[#This Row],[Sched C/ County/ State]]-Table336789101112131415[[#This Row],[2025 Rate]]</f>
        <v>0.89</v>
      </c>
    </row>
    <row r="1257" spans="1:10" x14ac:dyDescent="0.2">
      <c r="A1257" s="93">
        <v>7309</v>
      </c>
      <c r="B1257" s="94" t="s">
        <v>970</v>
      </c>
      <c r="C1257" s="95">
        <v>2019</v>
      </c>
      <c r="D1257" s="96" t="s">
        <v>170</v>
      </c>
      <c r="F1257" s="101">
        <v>13.86</v>
      </c>
      <c r="G1257" s="105"/>
      <c r="H1257" s="106"/>
      <c r="I1257" s="101">
        <v>12.97</v>
      </c>
      <c r="J1257" s="99">
        <f>Table336789101112131415[[#This Row],[Sched C/ County/ State]]-Table336789101112131415[[#This Row],[2025 Rate]]</f>
        <v>0.89</v>
      </c>
    </row>
    <row r="1258" spans="1:10" x14ac:dyDescent="0.2">
      <c r="A1258" s="93">
        <v>7316</v>
      </c>
      <c r="B1258" s="94" t="s">
        <v>970</v>
      </c>
      <c r="C1258" s="95">
        <v>2020</v>
      </c>
      <c r="D1258" s="96" t="s">
        <v>170</v>
      </c>
      <c r="F1258" s="101">
        <v>13.86</v>
      </c>
      <c r="G1258" s="105"/>
      <c r="H1258" s="106"/>
      <c r="I1258" s="101">
        <v>12.97</v>
      </c>
      <c r="J1258" s="99">
        <f>Table336789101112131415[[#This Row],[Sched C/ County/ State]]-Table336789101112131415[[#This Row],[2025 Rate]]</f>
        <v>0.89</v>
      </c>
    </row>
    <row r="1259" spans="1:10" ht="30" x14ac:dyDescent="0.2">
      <c r="A1259" s="93">
        <v>7321</v>
      </c>
      <c r="B1259" s="94" t="s">
        <v>989</v>
      </c>
      <c r="C1259" s="95">
        <v>2020</v>
      </c>
      <c r="D1259" s="96" t="s">
        <v>170</v>
      </c>
      <c r="E1259" s="96" t="s">
        <v>986</v>
      </c>
      <c r="F1259" s="101">
        <v>13.86</v>
      </c>
      <c r="G1259" s="105"/>
      <c r="H1259" s="106"/>
      <c r="I1259" s="101">
        <v>12.97</v>
      </c>
      <c r="J1259" s="99">
        <f>Table336789101112131415[[#This Row],[Sched C/ County/ State]]-Table336789101112131415[[#This Row],[2025 Rate]]</f>
        <v>0.89</v>
      </c>
    </row>
    <row r="1260" spans="1:10" ht="30" x14ac:dyDescent="0.2">
      <c r="A1260" s="93">
        <v>7322</v>
      </c>
      <c r="B1260" s="94" t="s">
        <v>989</v>
      </c>
      <c r="C1260" s="95">
        <v>2020</v>
      </c>
      <c r="D1260" s="96" t="s">
        <v>170</v>
      </c>
      <c r="E1260" s="96" t="s">
        <v>986</v>
      </c>
      <c r="F1260" s="101">
        <v>13.86</v>
      </c>
      <c r="G1260" s="105"/>
      <c r="H1260" s="106"/>
      <c r="I1260" s="101">
        <v>12.97</v>
      </c>
      <c r="J1260" s="99">
        <f>Table336789101112131415[[#This Row],[Sched C/ County/ State]]-Table336789101112131415[[#This Row],[2025 Rate]]</f>
        <v>0.89</v>
      </c>
    </row>
    <row r="1261" spans="1:10" ht="30" x14ac:dyDescent="0.2">
      <c r="A1261" s="93">
        <v>7323</v>
      </c>
      <c r="B1261" s="94" t="s">
        <v>989</v>
      </c>
      <c r="C1261" s="95">
        <v>2020</v>
      </c>
      <c r="D1261" s="96" t="s">
        <v>170</v>
      </c>
      <c r="E1261" s="96" t="s">
        <v>986</v>
      </c>
      <c r="F1261" s="101">
        <v>13.86</v>
      </c>
      <c r="G1261" s="105"/>
      <c r="H1261" s="106"/>
      <c r="I1261" s="101">
        <v>12.97</v>
      </c>
      <c r="J1261" s="99">
        <f>Table336789101112131415[[#This Row],[Sched C/ County/ State]]-Table336789101112131415[[#This Row],[2025 Rate]]</f>
        <v>0.89</v>
      </c>
    </row>
    <row r="1262" spans="1:10" x14ac:dyDescent="0.2">
      <c r="A1262" s="93">
        <v>7498</v>
      </c>
      <c r="B1262" s="94" t="s">
        <v>970</v>
      </c>
      <c r="C1262" s="95">
        <v>2017</v>
      </c>
      <c r="D1262" s="96" t="s">
        <v>170</v>
      </c>
      <c r="F1262" s="101">
        <v>13.86</v>
      </c>
      <c r="G1262" s="105"/>
      <c r="H1262" s="106"/>
      <c r="I1262" s="101">
        <v>12.97</v>
      </c>
      <c r="J1262" s="99">
        <f>Table336789101112131415[[#This Row],[Sched C/ County/ State]]-Table336789101112131415[[#This Row],[2025 Rate]]</f>
        <v>0.89</v>
      </c>
    </row>
    <row r="1263" spans="1:10" x14ac:dyDescent="0.2">
      <c r="A1263" s="93">
        <v>7499</v>
      </c>
      <c r="B1263" s="94" t="s">
        <v>970</v>
      </c>
      <c r="C1263" s="95">
        <v>2017</v>
      </c>
      <c r="D1263" s="96" t="s">
        <v>170</v>
      </c>
      <c r="F1263" s="101">
        <v>13.86</v>
      </c>
      <c r="G1263" s="105"/>
      <c r="H1263" s="106"/>
      <c r="I1263" s="101">
        <v>12.97</v>
      </c>
      <c r="J1263" s="99">
        <f>Table336789101112131415[[#This Row],[Sched C/ County/ State]]-Table336789101112131415[[#This Row],[2025 Rate]]</f>
        <v>0.89</v>
      </c>
    </row>
    <row r="1264" spans="1:10" x14ac:dyDescent="0.2">
      <c r="A1264" s="118"/>
      <c r="B1264" s="119"/>
      <c r="C1264" s="120"/>
      <c r="D1264" s="121"/>
      <c r="E1264" s="121"/>
      <c r="F1264" s="122"/>
      <c r="G1264" s="106"/>
      <c r="H1264" s="106"/>
      <c r="I1264" s="122"/>
      <c r="J1264" s="123">
        <f>Table336789101112131415[[#This Row],[Sched C/ County/ State]]-Table336789101112131415[[#This Row],[2025 Rate]]</f>
        <v>0</v>
      </c>
    </row>
    <row r="1265" spans="1:10" x14ac:dyDescent="0.2">
      <c r="A1265" s="93" t="s">
        <v>990</v>
      </c>
      <c r="B1265" s="94" t="s">
        <v>991</v>
      </c>
      <c r="C1265" s="95">
        <v>2018</v>
      </c>
      <c r="D1265" s="96" t="s">
        <v>991</v>
      </c>
      <c r="F1265" s="101">
        <v>0.3</v>
      </c>
      <c r="G1265" s="105"/>
      <c r="H1265" s="106"/>
      <c r="I1265" s="101">
        <v>0.28000000000000003</v>
      </c>
      <c r="J1265" s="99">
        <f>Table336789101112131415[[#This Row],[Sched C/ County/ State]]-Table336789101112131415[[#This Row],[2025 Rate]]</f>
        <v>0.02</v>
      </c>
    </row>
    <row r="1266" spans="1:10" x14ac:dyDescent="0.2">
      <c r="A1266" s="93" t="s">
        <v>992</v>
      </c>
      <c r="B1266" s="94" t="s">
        <v>991</v>
      </c>
      <c r="C1266" s="95">
        <v>2019</v>
      </c>
      <c r="D1266" s="96" t="s">
        <v>991</v>
      </c>
      <c r="F1266" s="101">
        <v>0.3</v>
      </c>
      <c r="G1266" s="105"/>
      <c r="H1266" s="106"/>
      <c r="I1266" s="101">
        <v>0.28000000000000003</v>
      </c>
      <c r="J1266" s="99">
        <f>Table336789101112131415[[#This Row],[Sched C/ County/ State]]-Table336789101112131415[[#This Row],[2025 Rate]]</f>
        <v>0.02</v>
      </c>
    </row>
    <row r="1267" spans="1:10" x14ac:dyDescent="0.2">
      <c r="A1267" s="93" t="s">
        <v>993</v>
      </c>
      <c r="B1267" s="94" t="s">
        <v>991</v>
      </c>
      <c r="C1267" s="95">
        <v>2019</v>
      </c>
      <c r="D1267" s="96" t="s">
        <v>991</v>
      </c>
      <c r="F1267" s="101">
        <v>0.3</v>
      </c>
      <c r="G1267" s="105"/>
      <c r="H1267" s="106"/>
      <c r="I1267" s="101">
        <v>0.28000000000000003</v>
      </c>
      <c r="J1267" s="99">
        <f>Table336789101112131415[[#This Row],[Sched C/ County/ State]]-Table336789101112131415[[#This Row],[2025 Rate]]</f>
        <v>0.02</v>
      </c>
    </row>
    <row r="1268" spans="1:10" x14ac:dyDescent="0.2">
      <c r="A1268" s="93" t="s">
        <v>994</v>
      </c>
      <c r="B1268" s="94" t="s">
        <v>991</v>
      </c>
      <c r="C1268" s="95">
        <v>2019</v>
      </c>
      <c r="D1268" s="96" t="s">
        <v>991</v>
      </c>
      <c r="F1268" s="101">
        <v>0.3</v>
      </c>
      <c r="G1268" s="105"/>
      <c r="H1268" s="106"/>
      <c r="I1268" s="101">
        <v>0.28000000000000003</v>
      </c>
      <c r="J1268" s="99">
        <f>Table336789101112131415[[#This Row],[Sched C/ County/ State]]-Table336789101112131415[[#This Row],[2025 Rate]]</f>
        <v>0.02</v>
      </c>
    </row>
    <row r="1269" spans="1:10" x14ac:dyDescent="0.2">
      <c r="A1269" s="93" t="s">
        <v>995</v>
      </c>
      <c r="B1269" s="94" t="s">
        <v>991</v>
      </c>
      <c r="C1269" s="95">
        <v>2020</v>
      </c>
      <c r="D1269" s="96" t="s">
        <v>991</v>
      </c>
      <c r="F1269" s="101">
        <v>0.3</v>
      </c>
      <c r="G1269" s="105"/>
      <c r="H1269" s="106"/>
      <c r="I1269" s="101">
        <v>0.28000000000000003</v>
      </c>
      <c r="J1269" s="99">
        <f>Table336789101112131415[[#This Row],[Sched C/ County/ State]]-Table336789101112131415[[#This Row],[2025 Rate]]</f>
        <v>0.02</v>
      </c>
    </row>
    <row r="1270" spans="1:10" x14ac:dyDescent="0.2">
      <c r="A1270" s="93" t="s">
        <v>996</v>
      </c>
      <c r="B1270" s="94" t="s">
        <v>991</v>
      </c>
      <c r="C1270" s="95">
        <v>2020</v>
      </c>
      <c r="D1270" s="96" t="s">
        <v>991</v>
      </c>
      <c r="F1270" s="101">
        <v>0.3</v>
      </c>
      <c r="G1270" s="105"/>
      <c r="H1270" s="106"/>
      <c r="I1270" s="101">
        <v>0.28000000000000003</v>
      </c>
      <c r="J1270" s="99">
        <f>Table336789101112131415[[#This Row],[Sched C/ County/ State]]-Table336789101112131415[[#This Row],[2025 Rate]]</f>
        <v>0.02</v>
      </c>
    </row>
    <row r="1271" spans="1:10" x14ac:dyDescent="0.2">
      <c r="A1271" s="93" t="s">
        <v>997</v>
      </c>
      <c r="B1271" s="94" t="s">
        <v>991</v>
      </c>
      <c r="C1271" s="95">
        <v>2020</v>
      </c>
      <c r="D1271" s="96" t="s">
        <v>991</v>
      </c>
      <c r="F1271" s="101">
        <v>0.3</v>
      </c>
      <c r="G1271" s="105"/>
      <c r="H1271" s="106"/>
      <c r="I1271" s="101">
        <v>0.28000000000000003</v>
      </c>
      <c r="J1271" s="99">
        <f>Table336789101112131415[[#This Row],[Sched C/ County/ State]]-Table336789101112131415[[#This Row],[2025 Rate]]</f>
        <v>0.02</v>
      </c>
    </row>
    <row r="1272" spans="1:10" x14ac:dyDescent="0.2">
      <c r="A1272" s="93" t="s">
        <v>998</v>
      </c>
      <c r="B1272" s="94" t="s">
        <v>159</v>
      </c>
      <c r="C1272" s="95">
        <v>2024</v>
      </c>
      <c r="D1272" s="96" t="s">
        <v>510</v>
      </c>
      <c r="F1272" s="101">
        <v>0.1</v>
      </c>
      <c r="G1272" s="105"/>
      <c r="H1272" s="106"/>
      <c r="I1272" s="101">
        <v>0.09</v>
      </c>
      <c r="J1272" s="99">
        <f>Table336789101112131415[[#This Row],[Sched C/ County/ State]]-Table336789101112131415[[#This Row],[2025 Rate]]</f>
        <v>0.01</v>
      </c>
    </row>
    <row r="1273" spans="1:10" x14ac:dyDescent="0.2">
      <c r="A1273" s="93" t="s">
        <v>999</v>
      </c>
      <c r="B1273" s="94" t="s">
        <v>159</v>
      </c>
      <c r="C1273" s="95">
        <v>2024</v>
      </c>
      <c r="D1273" s="96" t="s">
        <v>510</v>
      </c>
      <c r="F1273" s="101">
        <v>0.1</v>
      </c>
      <c r="G1273" s="105"/>
      <c r="H1273" s="106"/>
      <c r="I1273" s="101">
        <v>0.09</v>
      </c>
      <c r="J1273" s="99">
        <f>Table336789101112131415[[#This Row],[Sched C/ County/ State]]-Table336789101112131415[[#This Row],[2025 Rate]]</f>
        <v>0.01</v>
      </c>
    </row>
    <row r="1274" spans="1:10" x14ac:dyDescent="0.2">
      <c r="A1274" s="93" t="s">
        <v>1000</v>
      </c>
      <c r="B1274" s="94" t="s">
        <v>159</v>
      </c>
      <c r="C1274" s="95">
        <v>2024</v>
      </c>
      <c r="D1274" s="96" t="s">
        <v>510</v>
      </c>
      <c r="F1274" s="101">
        <v>0.1</v>
      </c>
      <c r="G1274" s="105"/>
      <c r="H1274" s="106"/>
      <c r="I1274" s="101">
        <v>0.09</v>
      </c>
      <c r="J1274" s="99">
        <f>Table336789101112131415[[#This Row],[Sched C/ County/ State]]-Table336789101112131415[[#This Row],[2025 Rate]]</f>
        <v>0.01</v>
      </c>
    </row>
    <row r="1275" spans="1:10" x14ac:dyDescent="0.2">
      <c r="A1275" s="93" t="s">
        <v>1001</v>
      </c>
      <c r="B1275" s="94" t="s">
        <v>159</v>
      </c>
      <c r="C1275" s="95">
        <v>2024</v>
      </c>
      <c r="D1275" s="96" t="s">
        <v>510</v>
      </c>
      <c r="F1275" s="101">
        <v>0.1</v>
      </c>
      <c r="G1275" s="105"/>
      <c r="H1275" s="106"/>
      <c r="I1275" s="101">
        <v>0.09</v>
      </c>
      <c r="J1275" s="99">
        <f>Table336789101112131415[[#This Row],[Sched C/ County/ State]]-Table336789101112131415[[#This Row],[2025 Rate]]</f>
        <v>0.01</v>
      </c>
    </row>
    <row r="1276" spans="1:10" x14ac:dyDescent="0.2">
      <c r="A1276" s="93" t="s">
        <v>1002</v>
      </c>
      <c r="B1276" s="94" t="s">
        <v>991</v>
      </c>
      <c r="C1276" s="95">
        <v>2024</v>
      </c>
      <c r="D1276" s="96" t="s">
        <v>991</v>
      </c>
      <c r="F1276" s="101">
        <v>0.3</v>
      </c>
      <c r="G1276" s="105"/>
      <c r="H1276" s="106"/>
      <c r="I1276" s="101">
        <v>0.28000000000000003</v>
      </c>
      <c r="J1276" s="99">
        <f>Table336789101112131415[[#This Row],[Sched C/ County/ State]]-Table336789101112131415[[#This Row],[2025 Rate]]</f>
        <v>0.02</v>
      </c>
    </row>
    <row r="1277" spans="1:10" x14ac:dyDescent="0.2">
      <c r="A1277" s="93" t="s">
        <v>1003</v>
      </c>
      <c r="B1277" s="94" t="s">
        <v>991</v>
      </c>
      <c r="C1277" s="95">
        <v>2024</v>
      </c>
      <c r="D1277" s="96" t="s">
        <v>991</v>
      </c>
      <c r="F1277" s="101">
        <v>0.3</v>
      </c>
      <c r="G1277" s="105"/>
      <c r="H1277" s="106"/>
      <c r="I1277" s="101">
        <v>0.28000000000000003</v>
      </c>
      <c r="J1277" s="99">
        <f>Table336789101112131415[[#This Row],[Sched C/ County/ State]]-Table336789101112131415[[#This Row],[2025 Rate]]</f>
        <v>0.02</v>
      </c>
    </row>
    <row r="1278" spans="1:10" x14ac:dyDescent="0.2">
      <c r="A1278" s="93" t="s">
        <v>1004</v>
      </c>
      <c r="B1278" s="94" t="s">
        <v>159</v>
      </c>
      <c r="C1278" s="95">
        <v>2024</v>
      </c>
      <c r="D1278" s="96" t="s">
        <v>510</v>
      </c>
      <c r="F1278" s="101">
        <v>0.1</v>
      </c>
      <c r="G1278" s="105"/>
      <c r="H1278" s="106"/>
      <c r="I1278" s="101">
        <v>0.09</v>
      </c>
      <c r="J1278" s="99">
        <f>Table336789101112131415[[#This Row],[Sched C/ County/ State]]-Table336789101112131415[[#This Row],[2025 Rate]]</f>
        <v>0.01</v>
      </c>
    </row>
    <row r="1279" spans="1:10" x14ac:dyDescent="0.2">
      <c r="A1279" s="93" t="s">
        <v>1005</v>
      </c>
      <c r="B1279" s="94" t="s">
        <v>159</v>
      </c>
      <c r="C1279" s="95">
        <v>2024</v>
      </c>
      <c r="D1279" s="96" t="s">
        <v>510</v>
      </c>
      <c r="F1279" s="101">
        <v>0.1</v>
      </c>
      <c r="G1279" s="105"/>
      <c r="H1279" s="106"/>
      <c r="I1279" s="101">
        <v>0.09</v>
      </c>
      <c r="J1279" s="99">
        <f>Table336789101112131415[[#This Row],[Sched C/ County/ State]]-Table336789101112131415[[#This Row],[2025 Rate]]</f>
        <v>0.01</v>
      </c>
    </row>
    <row r="1280" spans="1:10" x14ac:dyDescent="0.2">
      <c r="A1280" s="93" t="s">
        <v>1006</v>
      </c>
      <c r="B1280" s="94" t="s">
        <v>159</v>
      </c>
      <c r="C1280" s="95">
        <v>2024</v>
      </c>
      <c r="D1280" s="96" t="s">
        <v>510</v>
      </c>
      <c r="F1280" s="101">
        <v>0.1</v>
      </c>
      <c r="G1280" s="105"/>
      <c r="H1280" s="106"/>
      <c r="I1280" s="101">
        <v>0.09</v>
      </c>
      <c r="J1280" s="99">
        <f>Table336789101112131415[[#This Row],[Sched C/ County/ State]]-Table336789101112131415[[#This Row],[2025 Rate]]</f>
        <v>0.01</v>
      </c>
    </row>
    <row r="1281" spans="1:10" x14ac:dyDescent="0.2">
      <c r="A1281" s="93" t="s">
        <v>1007</v>
      </c>
      <c r="B1281" s="94" t="s">
        <v>159</v>
      </c>
      <c r="C1281" s="95">
        <v>2024</v>
      </c>
      <c r="D1281" s="96" t="s">
        <v>510</v>
      </c>
      <c r="F1281" s="101">
        <v>0.1</v>
      </c>
      <c r="G1281" s="105"/>
      <c r="H1281" s="106"/>
      <c r="I1281" s="101">
        <v>0.09</v>
      </c>
      <c r="J1281" s="99">
        <f>Table336789101112131415[[#This Row],[Sched C/ County/ State]]-Table336789101112131415[[#This Row],[2025 Rate]]</f>
        <v>0.01</v>
      </c>
    </row>
    <row r="1282" spans="1:10" x14ac:dyDescent="0.2">
      <c r="A1282" s="93" t="s">
        <v>1008</v>
      </c>
      <c r="B1282" s="94" t="s">
        <v>159</v>
      </c>
      <c r="C1282" s="95">
        <v>2024</v>
      </c>
      <c r="D1282" s="96" t="s">
        <v>510</v>
      </c>
      <c r="F1282" s="101">
        <v>0.1</v>
      </c>
      <c r="G1282" s="105"/>
      <c r="H1282" s="106"/>
      <c r="I1282" s="101">
        <v>0.09</v>
      </c>
      <c r="J1282" s="99">
        <f>Table336789101112131415[[#This Row],[Sched C/ County/ State]]-Table336789101112131415[[#This Row],[2025 Rate]]</f>
        <v>0.01</v>
      </c>
    </row>
    <row r="1283" spans="1:10" ht="30" x14ac:dyDescent="0.2">
      <c r="A1283" s="93" t="s">
        <v>1009</v>
      </c>
      <c r="B1283" s="94" t="s">
        <v>970</v>
      </c>
      <c r="C1283" s="95">
        <v>2024</v>
      </c>
      <c r="D1283" s="96" t="s">
        <v>533</v>
      </c>
      <c r="E1283" s="96" t="s">
        <v>1010</v>
      </c>
      <c r="F1283" s="101">
        <v>16.62</v>
      </c>
      <c r="G1283" s="105"/>
      <c r="H1283" s="106"/>
      <c r="I1283" s="101">
        <v>15.55</v>
      </c>
      <c r="J1283" s="99">
        <f>Table336789101112131415[[#This Row],[Sched C/ County/ State]]-Table336789101112131415[[#This Row],[2025 Rate]]</f>
        <v>1.07</v>
      </c>
    </row>
    <row r="1284" spans="1:10" x14ac:dyDescent="0.2">
      <c r="A1284" s="93" t="s">
        <v>1011</v>
      </c>
      <c r="B1284" s="94" t="s">
        <v>991</v>
      </c>
      <c r="C1284" s="95">
        <v>2017</v>
      </c>
      <c r="D1284" s="96" t="s">
        <v>991</v>
      </c>
      <c r="F1284" s="101">
        <v>0.3</v>
      </c>
      <c r="G1284" s="105"/>
      <c r="H1284" s="106"/>
      <c r="I1284" s="101">
        <v>0.28000000000000003</v>
      </c>
      <c r="J1284" s="99">
        <f>Table336789101112131415[[#This Row],[Sched C/ County/ State]]-Table336789101112131415[[#This Row],[2025 Rate]]</f>
        <v>0.02</v>
      </c>
    </row>
    <row r="1285" spans="1:10" x14ac:dyDescent="0.2">
      <c r="A1285" s="93" t="s">
        <v>1012</v>
      </c>
      <c r="B1285" s="94" t="s">
        <v>1013</v>
      </c>
      <c r="C1285" s="95">
        <v>2022</v>
      </c>
      <c r="D1285" s="96" t="s">
        <v>140</v>
      </c>
      <c r="E1285" s="96" t="s">
        <v>1014</v>
      </c>
      <c r="F1285" s="101">
        <v>10.3</v>
      </c>
      <c r="G1285" s="105"/>
      <c r="I1285" s="101">
        <v>9.56</v>
      </c>
      <c r="J1285" s="99">
        <f>Table336789101112131415[[#This Row],[Sched C/ County/ State]]-Table336789101112131415[[#This Row],[2025 Rate]]</f>
        <v>0.74</v>
      </c>
    </row>
    <row r="1286" spans="1:10" x14ac:dyDescent="0.2">
      <c r="A1286" s="93" t="s">
        <v>1015</v>
      </c>
      <c r="B1286" s="94" t="s">
        <v>577</v>
      </c>
      <c r="C1286" s="95">
        <v>2022</v>
      </c>
      <c r="D1286" s="96" t="s">
        <v>575</v>
      </c>
      <c r="E1286" s="96" t="s">
        <v>1016</v>
      </c>
      <c r="F1286" s="101">
        <v>4.2699999999999996</v>
      </c>
      <c r="G1286" s="105"/>
      <c r="I1286" s="101">
        <v>4</v>
      </c>
      <c r="J1286" s="99">
        <f>Table336789101112131415[[#This Row],[Sched C/ County/ State]]-Table336789101112131415[[#This Row],[2025 Rate]]</f>
        <v>0.27</v>
      </c>
    </row>
    <row r="1287" spans="1:10" x14ac:dyDescent="0.2">
      <c r="A1287" s="93" t="s">
        <v>1017</v>
      </c>
      <c r="B1287" s="94" t="s">
        <v>581</v>
      </c>
      <c r="C1287" s="95">
        <v>2022</v>
      </c>
      <c r="D1287" s="96" t="s">
        <v>582</v>
      </c>
      <c r="E1287" s="96" t="s">
        <v>1018</v>
      </c>
      <c r="F1287" s="101">
        <v>1.02</v>
      </c>
      <c r="G1287" s="105"/>
      <c r="I1287" s="101">
        <v>0.95</v>
      </c>
      <c r="J1287" s="99">
        <f>Table336789101112131415[[#This Row],[Sched C/ County/ State]]-Table336789101112131415[[#This Row],[2025 Rate]]</f>
        <v>7.0000000000000007E-2</v>
      </c>
    </row>
    <row r="1288" spans="1:10" x14ac:dyDescent="0.2">
      <c r="A1288" s="93" t="s">
        <v>1019</v>
      </c>
      <c r="B1288" s="94" t="s">
        <v>251</v>
      </c>
      <c r="C1288" s="95">
        <v>2021</v>
      </c>
      <c r="E1288" s="96" t="s">
        <v>257</v>
      </c>
      <c r="F1288" s="101">
        <v>0.14000000000000001</v>
      </c>
      <c r="G1288" s="105"/>
      <c r="I1288" s="101">
        <v>0.13</v>
      </c>
      <c r="J1288" s="99">
        <f>Table336789101112131415[[#This Row],[Sched C/ County/ State]]-Table336789101112131415[[#This Row],[2025 Rate]]</f>
        <v>0.01</v>
      </c>
    </row>
    <row r="1289" spans="1:10" x14ac:dyDescent="0.2">
      <c r="A1289" s="93" t="s">
        <v>1020</v>
      </c>
      <c r="B1289" s="94" t="s">
        <v>337</v>
      </c>
      <c r="C1289" s="95">
        <v>2021</v>
      </c>
      <c r="D1289" s="96" t="s">
        <v>953</v>
      </c>
      <c r="E1289" s="96" t="s">
        <v>1021</v>
      </c>
      <c r="F1289" s="101">
        <v>19.260000000000002</v>
      </c>
      <c r="G1289" s="105"/>
      <c r="I1289" s="101">
        <v>18.02</v>
      </c>
      <c r="J1289" s="99">
        <f>Table336789101112131415[[#This Row],[Sched C/ County/ State]]-Table336789101112131415[[#This Row],[2025 Rate]]</f>
        <v>1.24</v>
      </c>
    </row>
    <row r="1290" spans="1:10" x14ac:dyDescent="0.2">
      <c r="A1290" s="93" t="s">
        <v>1022</v>
      </c>
      <c r="B1290" s="94" t="s">
        <v>1023</v>
      </c>
      <c r="C1290" s="95">
        <v>2023</v>
      </c>
      <c r="D1290" s="96" t="s">
        <v>1024</v>
      </c>
      <c r="F1290" s="101">
        <v>0.56999999999999995</v>
      </c>
      <c r="G1290" s="105"/>
      <c r="H1290" s="124"/>
      <c r="I1290" s="101">
        <v>0.53</v>
      </c>
      <c r="J1290" s="99">
        <f>Table336789101112131415[[#This Row],[Sched C/ County/ State]]-Table336789101112131415[[#This Row],[2025 Rate]]</f>
        <v>0.04</v>
      </c>
    </row>
    <row r="1291" spans="1:10" ht="30" x14ac:dyDescent="0.2">
      <c r="A1291" s="93" t="s">
        <v>1025</v>
      </c>
      <c r="B1291" s="94" t="s">
        <v>928</v>
      </c>
      <c r="C1291" s="95">
        <v>2021</v>
      </c>
      <c r="D1291" s="96" t="s">
        <v>170</v>
      </c>
      <c r="E1291" s="96" t="s">
        <v>1026</v>
      </c>
      <c r="F1291" s="101">
        <v>25.2</v>
      </c>
      <c r="G1291" s="105"/>
      <c r="H1291" s="104"/>
      <c r="I1291" s="101">
        <v>23.58</v>
      </c>
      <c r="J1291" s="99">
        <f>Table336789101112131415[[#This Row],[Sched C/ County/ State]]-Table336789101112131415[[#This Row],[2025 Rate]]</f>
        <v>1.62</v>
      </c>
    </row>
    <row r="1292" spans="1:10" ht="30" x14ac:dyDescent="0.2">
      <c r="A1292" s="93" t="s">
        <v>1027</v>
      </c>
      <c r="B1292" s="94" t="s">
        <v>928</v>
      </c>
      <c r="C1292" s="95">
        <v>2021</v>
      </c>
      <c r="D1292" s="96" t="s">
        <v>170</v>
      </c>
      <c r="E1292" s="96" t="s">
        <v>1026</v>
      </c>
      <c r="F1292" s="101">
        <v>25.2</v>
      </c>
      <c r="I1292" s="101">
        <v>23.58</v>
      </c>
      <c r="J1292" s="99">
        <f>Table336789101112131415[[#This Row],[Sched C/ County/ State]]-Table336789101112131415[[#This Row],[2025 Rate]]</f>
        <v>1.62</v>
      </c>
    </row>
    <row r="1293" spans="1:10" x14ac:dyDescent="0.2">
      <c r="A1293" s="93" t="s">
        <v>1028</v>
      </c>
      <c r="B1293" s="94" t="s">
        <v>317</v>
      </c>
      <c r="C1293" s="95">
        <v>2021</v>
      </c>
      <c r="D1293" s="96" t="s">
        <v>325</v>
      </c>
      <c r="E1293" s="96" t="s">
        <v>318</v>
      </c>
      <c r="F1293" s="101">
        <v>3.24</v>
      </c>
      <c r="I1293" s="101">
        <v>3.01</v>
      </c>
      <c r="J1293" s="99">
        <f>Table336789101112131415[[#This Row],[Sched C/ County/ State]]-Table336789101112131415[[#This Row],[2025 Rate]]</f>
        <v>0.23</v>
      </c>
    </row>
    <row r="1294" spans="1:10" x14ac:dyDescent="0.2">
      <c r="A1294" s="93" t="s">
        <v>1029</v>
      </c>
      <c r="B1294" s="94" t="s">
        <v>187</v>
      </c>
      <c r="C1294" s="95">
        <v>2021</v>
      </c>
      <c r="D1294" s="96" t="s">
        <v>1030</v>
      </c>
      <c r="F1294" s="101">
        <v>3.05</v>
      </c>
      <c r="I1294" s="101">
        <v>2.85</v>
      </c>
      <c r="J1294" s="99">
        <f>Table336789101112131415[[#This Row],[Sched C/ County/ State]]-Table336789101112131415[[#This Row],[2025 Rate]]</f>
        <v>0.2</v>
      </c>
    </row>
    <row r="1295" spans="1:10" x14ac:dyDescent="0.2">
      <c r="A1295" s="93" t="s">
        <v>1031</v>
      </c>
      <c r="B1295" s="94" t="s">
        <v>863</v>
      </c>
      <c r="C1295" s="95">
        <v>2021</v>
      </c>
      <c r="D1295" s="96" t="s">
        <v>170</v>
      </c>
      <c r="E1295" s="96" t="s">
        <v>967</v>
      </c>
      <c r="F1295" s="101">
        <v>11.01</v>
      </c>
      <c r="I1295" s="101">
        <v>10.3</v>
      </c>
      <c r="J1295" s="99">
        <f>Table336789101112131415[[#This Row],[Sched C/ County/ State]]-Table336789101112131415[[#This Row],[2025 Rate]]</f>
        <v>0.71</v>
      </c>
    </row>
    <row r="1296" spans="1:10" x14ac:dyDescent="0.2">
      <c r="A1296" s="93" t="s">
        <v>1032</v>
      </c>
      <c r="B1296" s="94" t="s">
        <v>94</v>
      </c>
      <c r="C1296" s="95">
        <v>2021</v>
      </c>
      <c r="D1296" s="96" t="s">
        <v>1033</v>
      </c>
      <c r="E1296" s="96" t="s">
        <v>312</v>
      </c>
      <c r="F1296" s="101">
        <v>5.55</v>
      </c>
      <c r="I1296" s="101">
        <v>5.15</v>
      </c>
      <c r="J1296" s="99">
        <f>Table336789101112131415[[#This Row],[Sched C/ County/ State]]-Table336789101112131415[[#This Row],[2025 Rate]]</f>
        <v>0.4</v>
      </c>
    </row>
    <row r="1297" spans="1:10" ht="30" x14ac:dyDescent="0.2">
      <c r="A1297" s="93" t="s">
        <v>1034</v>
      </c>
      <c r="B1297" s="94" t="s">
        <v>989</v>
      </c>
      <c r="C1297" s="95">
        <v>2021</v>
      </c>
      <c r="D1297" s="96" t="s">
        <v>170</v>
      </c>
      <c r="E1297" s="96" t="s">
        <v>986</v>
      </c>
      <c r="F1297" s="101">
        <v>13.86</v>
      </c>
      <c r="I1297" s="101">
        <v>12.97</v>
      </c>
      <c r="J1297" s="99">
        <f>Table336789101112131415[[#This Row],[Sched C/ County/ State]]-Table336789101112131415[[#This Row],[2025 Rate]]</f>
        <v>0.89</v>
      </c>
    </row>
    <row r="1298" spans="1:10" x14ac:dyDescent="0.2">
      <c r="A1298" s="93" t="s">
        <v>1035</v>
      </c>
      <c r="B1298" s="94" t="s">
        <v>943</v>
      </c>
      <c r="C1298" s="95">
        <v>2021</v>
      </c>
      <c r="D1298" s="96" t="s">
        <v>170</v>
      </c>
      <c r="E1298" s="96" t="s">
        <v>1036</v>
      </c>
      <c r="F1298" s="101">
        <v>13.06</v>
      </c>
      <c r="I1298" s="101">
        <v>12.22</v>
      </c>
      <c r="J1298" s="99">
        <f>Table336789101112131415[[#This Row],[Sched C/ County/ State]]-Table336789101112131415[[#This Row],[2025 Rate]]</f>
        <v>0.84</v>
      </c>
    </row>
    <row r="1299" spans="1:10" ht="30" x14ac:dyDescent="0.2">
      <c r="A1299" s="93" t="s">
        <v>1037</v>
      </c>
      <c r="B1299" s="94" t="s">
        <v>928</v>
      </c>
      <c r="C1299" s="95">
        <v>2021</v>
      </c>
      <c r="D1299" s="96" t="s">
        <v>170</v>
      </c>
      <c r="E1299" s="96" t="s">
        <v>1026</v>
      </c>
      <c r="F1299" s="101">
        <v>25.2</v>
      </c>
      <c r="I1299" s="101">
        <v>23.58</v>
      </c>
      <c r="J1299" s="99">
        <f>Table336789101112131415[[#This Row],[Sched C/ County/ State]]-Table336789101112131415[[#This Row],[2025 Rate]]</f>
        <v>1.62</v>
      </c>
    </row>
    <row r="1300" spans="1:10" x14ac:dyDescent="0.2">
      <c r="A1300" s="93" t="s">
        <v>1038</v>
      </c>
      <c r="B1300" s="94" t="s">
        <v>317</v>
      </c>
      <c r="C1300" s="95">
        <v>2021</v>
      </c>
      <c r="D1300" s="96" t="s">
        <v>325</v>
      </c>
      <c r="E1300" s="96" t="s">
        <v>318</v>
      </c>
      <c r="F1300" s="101">
        <v>3.24</v>
      </c>
      <c r="I1300" s="101">
        <v>2.85</v>
      </c>
      <c r="J1300" s="99">
        <f>Table336789101112131415[[#This Row],[Sched C/ County/ State]]-Table336789101112131415[[#This Row],[2025 Rate]]</f>
        <v>0.39</v>
      </c>
    </row>
    <row r="1301" spans="1:10" x14ac:dyDescent="0.2">
      <c r="A1301" s="93" t="s">
        <v>1039</v>
      </c>
      <c r="B1301" s="94" t="s">
        <v>187</v>
      </c>
      <c r="C1301" s="95">
        <v>2021</v>
      </c>
      <c r="D1301" s="96" t="s">
        <v>1030</v>
      </c>
      <c r="F1301" s="101">
        <v>3.05</v>
      </c>
      <c r="I1301" s="101">
        <v>2.85</v>
      </c>
      <c r="J1301" s="99">
        <f>Table336789101112131415[[#This Row],[Sched C/ County/ State]]-Table336789101112131415[[#This Row],[2025 Rate]]</f>
        <v>0.2</v>
      </c>
    </row>
    <row r="1302" spans="1:10" x14ac:dyDescent="0.2">
      <c r="A1302" s="93" t="s">
        <v>1040</v>
      </c>
      <c r="B1302" s="94" t="s">
        <v>863</v>
      </c>
      <c r="C1302" s="95">
        <v>2021</v>
      </c>
      <c r="D1302" s="96" t="s">
        <v>170</v>
      </c>
      <c r="E1302" s="96" t="s">
        <v>967</v>
      </c>
      <c r="F1302" s="101">
        <v>11.01</v>
      </c>
      <c r="I1302" s="101">
        <v>10.3</v>
      </c>
      <c r="J1302" s="99">
        <f>Table336789101112131415[[#This Row],[Sched C/ County/ State]]-Table336789101112131415[[#This Row],[2025 Rate]]</f>
        <v>0.71</v>
      </c>
    </row>
    <row r="1303" spans="1:10" x14ac:dyDescent="0.2">
      <c r="A1303" s="93" t="s">
        <v>1041</v>
      </c>
      <c r="B1303" s="94" t="s">
        <v>94</v>
      </c>
      <c r="C1303" s="95">
        <v>2021</v>
      </c>
      <c r="D1303" s="96" t="s">
        <v>1033</v>
      </c>
      <c r="E1303" s="96" t="s">
        <v>312</v>
      </c>
      <c r="F1303" s="101">
        <v>5.55</v>
      </c>
      <c r="I1303" s="101">
        <v>5.15</v>
      </c>
      <c r="J1303" s="99">
        <f>Table336789101112131415[[#This Row],[Sched C/ County/ State]]-Table336789101112131415[[#This Row],[2025 Rate]]</f>
        <v>0.4</v>
      </c>
    </row>
    <row r="1304" spans="1:10" ht="30" x14ac:dyDescent="0.2">
      <c r="A1304" s="93" t="s">
        <v>1042</v>
      </c>
      <c r="B1304" s="94" t="s">
        <v>989</v>
      </c>
      <c r="C1304" s="95">
        <v>2021</v>
      </c>
      <c r="D1304" s="96" t="s">
        <v>170</v>
      </c>
      <c r="E1304" s="96" t="s">
        <v>986</v>
      </c>
      <c r="F1304" s="101">
        <v>13.86</v>
      </c>
      <c r="I1304" s="101">
        <v>12.97</v>
      </c>
      <c r="J1304" s="99">
        <f>Table336789101112131415[[#This Row],[Sched C/ County/ State]]-Table336789101112131415[[#This Row],[2025 Rate]]</f>
        <v>0.89</v>
      </c>
    </row>
    <row r="1305" spans="1:10" ht="30" x14ac:dyDescent="0.2">
      <c r="A1305" s="93" t="s">
        <v>1043</v>
      </c>
      <c r="B1305" s="94" t="s">
        <v>958</v>
      </c>
      <c r="C1305" s="95">
        <v>2021</v>
      </c>
      <c r="D1305" s="96" t="s">
        <v>170</v>
      </c>
      <c r="E1305" s="96" t="s">
        <v>1036</v>
      </c>
      <c r="F1305" s="101">
        <v>13.06</v>
      </c>
      <c r="I1305" s="101">
        <v>12.22</v>
      </c>
      <c r="J1305" s="99">
        <f>Table336789101112131415[[#This Row],[Sched C/ County/ State]]-Table336789101112131415[[#This Row],[2025 Rate]]</f>
        <v>0.84</v>
      </c>
    </row>
    <row r="1306" spans="1:10" x14ac:dyDescent="0.2">
      <c r="A1306" s="93" t="s">
        <v>1044</v>
      </c>
      <c r="B1306" s="94" t="s">
        <v>317</v>
      </c>
      <c r="C1306" s="95">
        <v>2021</v>
      </c>
      <c r="D1306" s="96" t="s">
        <v>325</v>
      </c>
      <c r="E1306" s="96" t="s">
        <v>318</v>
      </c>
      <c r="F1306" s="101">
        <v>3.24</v>
      </c>
      <c r="I1306" s="101">
        <v>3.01</v>
      </c>
      <c r="J1306" s="99">
        <f>Table336789101112131415[[#This Row],[Sched C/ County/ State]]-Table336789101112131415[[#This Row],[2025 Rate]]</f>
        <v>0.23</v>
      </c>
    </row>
    <row r="1307" spans="1:10" x14ac:dyDescent="0.2">
      <c r="A1307" s="93" t="s">
        <v>1045</v>
      </c>
      <c r="B1307" s="94" t="s">
        <v>187</v>
      </c>
      <c r="C1307" s="95">
        <v>2021</v>
      </c>
      <c r="D1307" s="96" t="s">
        <v>1030</v>
      </c>
      <c r="F1307" s="101">
        <v>3.05</v>
      </c>
      <c r="I1307" s="101">
        <v>2.85</v>
      </c>
      <c r="J1307" s="99">
        <f>Table336789101112131415[[#This Row],[Sched C/ County/ State]]-Table336789101112131415[[#This Row],[2025 Rate]]</f>
        <v>0.2</v>
      </c>
    </row>
    <row r="1308" spans="1:10" x14ac:dyDescent="0.2">
      <c r="A1308" s="93" t="s">
        <v>1046</v>
      </c>
      <c r="B1308" s="94" t="s">
        <v>863</v>
      </c>
      <c r="C1308" s="95">
        <v>2021</v>
      </c>
      <c r="D1308" s="96" t="s">
        <v>170</v>
      </c>
      <c r="E1308" s="96" t="s">
        <v>967</v>
      </c>
      <c r="F1308" s="101">
        <v>11.01</v>
      </c>
      <c r="I1308" s="101">
        <v>10.3</v>
      </c>
      <c r="J1308" s="99">
        <f>Table336789101112131415[[#This Row],[Sched C/ County/ State]]-Table336789101112131415[[#This Row],[2025 Rate]]</f>
        <v>0.71</v>
      </c>
    </row>
    <row r="1309" spans="1:10" x14ac:dyDescent="0.2">
      <c r="A1309" s="93" t="s">
        <v>1047</v>
      </c>
      <c r="B1309" s="94" t="s">
        <v>94</v>
      </c>
      <c r="C1309" s="95">
        <v>2021</v>
      </c>
      <c r="D1309" s="96" t="s">
        <v>1033</v>
      </c>
      <c r="E1309" s="96" t="s">
        <v>312</v>
      </c>
      <c r="F1309" s="101">
        <v>5.55</v>
      </c>
      <c r="I1309" s="101">
        <v>5.15</v>
      </c>
      <c r="J1309" s="99">
        <f>Table336789101112131415[[#This Row],[Sched C/ County/ State]]-Table336789101112131415[[#This Row],[2025 Rate]]</f>
        <v>0.4</v>
      </c>
    </row>
    <row r="1310" spans="1:10" ht="30" x14ac:dyDescent="0.2">
      <c r="A1310" s="93" t="s">
        <v>1048</v>
      </c>
      <c r="B1310" s="94" t="s">
        <v>989</v>
      </c>
      <c r="C1310" s="95">
        <v>2021</v>
      </c>
      <c r="D1310" s="96" t="s">
        <v>170</v>
      </c>
      <c r="E1310" s="96" t="s">
        <v>986</v>
      </c>
      <c r="F1310" s="101">
        <v>13.86</v>
      </c>
      <c r="I1310" s="101">
        <v>12.97</v>
      </c>
      <c r="J1310" s="99">
        <f>Table336789101112131415[[#This Row],[Sched C/ County/ State]]-Table336789101112131415[[#This Row],[2025 Rate]]</f>
        <v>0.89</v>
      </c>
    </row>
    <row r="1311" spans="1:10" x14ac:dyDescent="0.2">
      <c r="A1311" s="93" t="s">
        <v>1049</v>
      </c>
      <c r="B1311" s="94" t="s">
        <v>943</v>
      </c>
      <c r="C1311" s="95">
        <v>2021</v>
      </c>
      <c r="D1311" s="96" t="s">
        <v>170</v>
      </c>
      <c r="F1311" s="101">
        <v>13.06</v>
      </c>
      <c r="I1311" s="101">
        <v>12.22</v>
      </c>
      <c r="J1311" s="99">
        <f>Table336789101112131415[[#This Row],[Sched C/ County/ State]]-Table336789101112131415[[#This Row],[2025 Rate]]</f>
        <v>0.84</v>
      </c>
    </row>
    <row r="1312" spans="1:10" x14ac:dyDescent="0.2">
      <c r="A1312" s="93" t="s">
        <v>1050</v>
      </c>
      <c r="B1312" s="94" t="s">
        <v>317</v>
      </c>
      <c r="C1312" s="95">
        <v>2021</v>
      </c>
      <c r="D1312" s="96" t="s">
        <v>325</v>
      </c>
      <c r="E1312" s="96" t="s">
        <v>318</v>
      </c>
      <c r="F1312" s="101">
        <v>3.24</v>
      </c>
      <c r="I1312" s="101">
        <v>3.01</v>
      </c>
      <c r="J1312" s="99">
        <f>Table336789101112131415[[#This Row],[Sched C/ County/ State]]-Table336789101112131415[[#This Row],[2025 Rate]]</f>
        <v>0.23</v>
      </c>
    </row>
    <row r="1313" spans="1:10" x14ac:dyDescent="0.2">
      <c r="A1313" s="93" t="s">
        <v>1051</v>
      </c>
      <c r="B1313" s="94" t="s">
        <v>187</v>
      </c>
      <c r="C1313" s="95">
        <v>2021</v>
      </c>
      <c r="D1313" s="96" t="s">
        <v>1030</v>
      </c>
      <c r="F1313" s="101">
        <v>3.05</v>
      </c>
      <c r="I1313" s="101">
        <v>2.85</v>
      </c>
      <c r="J1313" s="99">
        <f>Table336789101112131415[[#This Row],[Sched C/ County/ State]]-Table336789101112131415[[#This Row],[2025 Rate]]</f>
        <v>0.2</v>
      </c>
    </row>
    <row r="1314" spans="1:10" x14ac:dyDescent="0.2">
      <c r="A1314" s="93" t="s">
        <v>1052</v>
      </c>
      <c r="B1314" s="94" t="s">
        <v>863</v>
      </c>
      <c r="C1314" s="95">
        <v>2021</v>
      </c>
      <c r="D1314" s="96" t="s">
        <v>170</v>
      </c>
      <c r="E1314" s="96" t="s">
        <v>967</v>
      </c>
      <c r="F1314" s="101">
        <v>11.01</v>
      </c>
      <c r="I1314" s="101">
        <v>10.3</v>
      </c>
      <c r="J1314" s="99">
        <f>Table336789101112131415[[#This Row],[Sched C/ County/ State]]-Table336789101112131415[[#This Row],[2025 Rate]]</f>
        <v>0.71</v>
      </c>
    </row>
    <row r="1315" spans="1:10" x14ac:dyDescent="0.2">
      <c r="A1315" s="93" t="s">
        <v>1053</v>
      </c>
      <c r="B1315" s="94" t="s">
        <v>94</v>
      </c>
      <c r="C1315" s="95">
        <v>2021</v>
      </c>
      <c r="D1315" s="96" t="s">
        <v>1033</v>
      </c>
      <c r="E1315" s="96" t="s">
        <v>312</v>
      </c>
      <c r="F1315" s="101">
        <v>5.55</v>
      </c>
      <c r="I1315" s="101">
        <v>5.15</v>
      </c>
      <c r="J1315" s="99">
        <f>Table336789101112131415[[#This Row],[Sched C/ County/ State]]-Table336789101112131415[[#This Row],[2025 Rate]]</f>
        <v>0.4</v>
      </c>
    </row>
    <row r="1316" spans="1:10" ht="30" x14ac:dyDescent="0.2">
      <c r="A1316" s="93" t="s">
        <v>1054</v>
      </c>
      <c r="B1316" s="94" t="s">
        <v>989</v>
      </c>
      <c r="C1316" s="95">
        <v>2021</v>
      </c>
      <c r="D1316" s="96" t="s">
        <v>170</v>
      </c>
      <c r="E1316" s="96" t="s">
        <v>986</v>
      </c>
      <c r="F1316" s="101">
        <v>13.86</v>
      </c>
      <c r="I1316" s="101">
        <v>12.97</v>
      </c>
      <c r="J1316" s="99">
        <f>Table336789101112131415[[#This Row],[Sched C/ County/ State]]-Table336789101112131415[[#This Row],[2025 Rate]]</f>
        <v>0.89</v>
      </c>
    </row>
    <row r="1317" spans="1:10" x14ac:dyDescent="0.2">
      <c r="A1317" s="93" t="s">
        <v>1055</v>
      </c>
      <c r="B1317" s="94" t="s">
        <v>943</v>
      </c>
      <c r="C1317" s="95">
        <v>2021</v>
      </c>
      <c r="D1317" s="96" t="s">
        <v>170</v>
      </c>
      <c r="F1317" s="101">
        <v>13.06</v>
      </c>
      <c r="I1317" s="101">
        <v>11.58</v>
      </c>
      <c r="J1317" s="99">
        <f>Table336789101112131415[[#This Row],[Sched C/ County/ State]]-Table336789101112131415[[#This Row],[2025 Rate]]</f>
        <v>1.48</v>
      </c>
    </row>
    <row r="1318" spans="1:10" x14ac:dyDescent="0.2">
      <c r="A1318" s="93" t="s">
        <v>1056</v>
      </c>
      <c r="B1318" s="94" t="s">
        <v>317</v>
      </c>
      <c r="C1318" s="95">
        <v>2021</v>
      </c>
      <c r="D1318" s="96" t="s">
        <v>325</v>
      </c>
      <c r="E1318" s="96" t="s">
        <v>318</v>
      </c>
      <c r="F1318" s="101">
        <v>3.24</v>
      </c>
      <c r="I1318" s="101">
        <v>3.01</v>
      </c>
      <c r="J1318" s="99">
        <f>Table336789101112131415[[#This Row],[Sched C/ County/ State]]-Table336789101112131415[[#This Row],[2025 Rate]]</f>
        <v>0.23</v>
      </c>
    </row>
    <row r="1319" spans="1:10" x14ac:dyDescent="0.2">
      <c r="A1319" s="93" t="s">
        <v>1057</v>
      </c>
      <c r="B1319" s="94" t="s">
        <v>187</v>
      </c>
      <c r="C1319" s="95">
        <v>2021</v>
      </c>
      <c r="D1319" s="96" t="s">
        <v>1030</v>
      </c>
      <c r="F1319" s="101">
        <v>3.05</v>
      </c>
      <c r="I1319" s="101">
        <v>2.85</v>
      </c>
      <c r="J1319" s="99">
        <f>Table336789101112131415[[#This Row],[Sched C/ County/ State]]-Table336789101112131415[[#This Row],[2025 Rate]]</f>
        <v>0.2</v>
      </c>
    </row>
    <row r="1320" spans="1:10" x14ac:dyDescent="0.2">
      <c r="A1320" s="93" t="s">
        <v>1058</v>
      </c>
      <c r="B1320" s="94" t="s">
        <v>863</v>
      </c>
      <c r="C1320" s="95">
        <v>2021</v>
      </c>
      <c r="D1320" s="96" t="s">
        <v>170</v>
      </c>
      <c r="E1320" s="96" t="s">
        <v>967</v>
      </c>
      <c r="F1320" s="101">
        <v>11.01</v>
      </c>
      <c r="I1320" s="101">
        <v>10.3</v>
      </c>
      <c r="J1320" s="99">
        <f>Table336789101112131415[[#This Row],[Sched C/ County/ State]]-Table336789101112131415[[#This Row],[2025 Rate]]</f>
        <v>0.71</v>
      </c>
    </row>
    <row r="1321" spans="1:10" x14ac:dyDescent="0.2">
      <c r="A1321" s="93" t="s">
        <v>1059</v>
      </c>
      <c r="B1321" s="94" t="s">
        <v>94</v>
      </c>
      <c r="C1321" s="95">
        <v>2021</v>
      </c>
      <c r="D1321" s="96" t="s">
        <v>1033</v>
      </c>
      <c r="E1321" s="96" t="s">
        <v>312</v>
      </c>
      <c r="F1321" s="101">
        <v>5.55</v>
      </c>
      <c r="I1321" s="101">
        <v>5.15</v>
      </c>
      <c r="J1321" s="99">
        <f>Table336789101112131415[[#This Row],[Sched C/ County/ State]]-Table336789101112131415[[#This Row],[2025 Rate]]</f>
        <v>0.4</v>
      </c>
    </row>
    <row r="1322" spans="1:10" ht="30" x14ac:dyDescent="0.2">
      <c r="A1322" s="93" t="s">
        <v>1060</v>
      </c>
      <c r="B1322" s="94" t="s">
        <v>989</v>
      </c>
      <c r="C1322" s="95">
        <v>2021</v>
      </c>
      <c r="D1322" s="96" t="s">
        <v>170</v>
      </c>
      <c r="E1322" s="96" t="s">
        <v>986</v>
      </c>
      <c r="F1322" s="101">
        <v>13.86</v>
      </c>
      <c r="I1322" s="101">
        <v>12.97</v>
      </c>
      <c r="J1322" s="99">
        <f>Table336789101112131415[[#This Row],[Sched C/ County/ State]]-Table336789101112131415[[#This Row],[2025 Rate]]</f>
        <v>0.89</v>
      </c>
    </row>
    <row r="1323" spans="1:10" x14ac:dyDescent="0.2">
      <c r="A1323" s="93" t="s">
        <v>1061</v>
      </c>
      <c r="B1323" s="94" t="s">
        <v>943</v>
      </c>
      <c r="C1323" s="95">
        <v>2021</v>
      </c>
      <c r="D1323" s="96" t="s">
        <v>170</v>
      </c>
      <c r="E1323" s="96" t="s">
        <v>1036</v>
      </c>
      <c r="F1323" s="101">
        <v>13.06</v>
      </c>
      <c r="I1323" s="101">
        <v>12.22</v>
      </c>
      <c r="J1323" s="99">
        <f>Table336789101112131415[[#This Row],[Sched C/ County/ State]]-Table336789101112131415[[#This Row],[2025 Rate]]</f>
        <v>0.84</v>
      </c>
    </row>
    <row r="1324" spans="1:10" ht="30" x14ac:dyDescent="0.2">
      <c r="A1324" s="93" t="s">
        <v>1062</v>
      </c>
      <c r="B1324" s="94" t="s">
        <v>928</v>
      </c>
      <c r="C1324" s="95">
        <v>2023</v>
      </c>
      <c r="D1324" s="96" t="s">
        <v>170</v>
      </c>
      <c r="E1324" s="96" t="s">
        <v>1026</v>
      </c>
      <c r="F1324" s="101">
        <v>25.2</v>
      </c>
      <c r="I1324" s="101">
        <v>23.58</v>
      </c>
      <c r="J1324" s="99">
        <f>Table336789101112131415[[#This Row],[Sched C/ County/ State]]-Table336789101112131415[[#This Row],[2025 Rate]]</f>
        <v>1.62</v>
      </c>
    </row>
    <row r="1325" spans="1:10" x14ac:dyDescent="0.2">
      <c r="A1325" s="93" t="s">
        <v>1063</v>
      </c>
      <c r="B1325" s="94" t="s">
        <v>317</v>
      </c>
      <c r="C1325" s="95">
        <v>2021</v>
      </c>
      <c r="D1325" s="96" t="s">
        <v>325</v>
      </c>
      <c r="E1325" s="96" t="s">
        <v>318</v>
      </c>
      <c r="F1325" s="101">
        <v>3.24</v>
      </c>
      <c r="I1325" s="101">
        <v>3.01</v>
      </c>
      <c r="J1325" s="99">
        <f>Table336789101112131415[[#This Row],[Sched C/ County/ State]]-Table336789101112131415[[#This Row],[2025 Rate]]</f>
        <v>0.23</v>
      </c>
    </row>
    <row r="1326" spans="1:10" x14ac:dyDescent="0.2">
      <c r="A1326" s="93" t="s">
        <v>1064</v>
      </c>
      <c r="B1326" s="94" t="s">
        <v>187</v>
      </c>
      <c r="C1326" s="95">
        <v>2021</v>
      </c>
      <c r="D1326" s="96" t="s">
        <v>1030</v>
      </c>
      <c r="F1326" s="101">
        <v>3.05</v>
      </c>
      <c r="I1326" s="101">
        <v>2.85</v>
      </c>
      <c r="J1326" s="99">
        <f>Table336789101112131415[[#This Row],[Sched C/ County/ State]]-Table336789101112131415[[#This Row],[2025 Rate]]</f>
        <v>0.2</v>
      </c>
    </row>
    <row r="1327" spans="1:10" x14ac:dyDescent="0.2">
      <c r="A1327" s="93" t="s">
        <v>1065</v>
      </c>
      <c r="B1327" s="94" t="s">
        <v>863</v>
      </c>
      <c r="C1327" s="95">
        <v>2021</v>
      </c>
      <c r="D1327" s="96" t="s">
        <v>170</v>
      </c>
      <c r="E1327" s="96" t="s">
        <v>967</v>
      </c>
      <c r="F1327" s="101">
        <v>11.01</v>
      </c>
      <c r="I1327" s="101">
        <v>10.3</v>
      </c>
      <c r="J1327" s="99">
        <f>Table336789101112131415[[#This Row],[Sched C/ County/ State]]-Table336789101112131415[[#This Row],[2025 Rate]]</f>
        <v>0.71</v>
      </c>
    </row>
    <row r="1328" spans="1:10" x14ac:dyDescent="0.2">
      <c r="A1328" s="93" t="s">
        <v>1066</v>
      </c>
      <c r="B1328" s="94" t="s">
        <v>94</v>
      </c>
      <c r="C1328" s="95">
        <v>2021</v>
      </c>
      <c r="D1328" s="96" t="s">
        <v>1033</v>
      </c>
      <c r="E1328" s="96" t="s">
        <v>312</v>
      </c>
      <c r="F1328" s="101">
        <v>5.55</v>
      </c>
      <c r="I1328" s="101">
        <v>5.15</v>
      </c>
      <c r="J1328" s="99">
        <f>Table336789101112131415[[#This Row],[Sched C/ County/ State]]-Table336789101112131415[[#This Row],[2025 Rate]]</f>
        <v>0.4</v>
      </c>
    </row>
    <row r="1329" spans="1:10" ht="30" x14ac:dyDescent="0.2">
      <c r="A1329" s="93" t="s">
        <v>1067</v>
      </c>
      <c r="B1329" s="94" t="s">
        <v>989</v>
      </c>
      <c r="C1329" s="95">
        <v>2021</v>
      </c>
      <c r="D1329" s="96" t="s">
        <v>170</v>
      </c>
      <c r="E1329" s="96" t="s">
        <v>986</v>
      </c>
      <c r="F1329" s="101">
        <v>13.86</v>
      </c>
      <c r="I1329" s="101">
        <v>12.97</v>
      </c>
      <c r="J1329" s="99">
        <f>Table336789101112131415[[#This Row],[Sched C/ County/ State]]-Table336789101112131415[[#This Row],[2025 Rate]]</f>
        <v>0.89</v>
      </c>
    </row>
    <row r="1330" spans="1:10" x14ac:dyDescent="0.2">
      <c r="A1330" s="93" t="s">
        <v>1068</v>
      </c>
      <c r="B1330" s="94" t="s">
        <v>943</v>
      </c>
      <c r="C1330" s="95">
        <v>2021</v>
      </c>
      <c r="D1330" s="96" t="s">
        <v>170</v>
      </c>
      <c r="F1330" s="101">
        <v>13.06</v>
      </c>
      <c r="I1330" s="101">
        <v>11.58</v>
      </c>
      <c r="J1330" s="99">
        <f>Table336789101112131415[[#This Row],[Sched C/ County/ State]]-Table336789101112131415[[#This Row],[2025 Rate]]</f>
        <v>1.48</v>
      </c>
    </row>
    <row r="1331" spans="1:10" x14ac:dyDescent="0.2">
      <c r="A1331" s="93" t="s">
        <v>1069</v>
      </c>
      <c r="B1331" s="94" t="s">
        <v>317</v>
      </c>
      <c r="C1331" s="95">
        <v>2021</v>
      </c>
      <c r="D1331" s="96" t="s">
        <v>325</v>
      </c>
      <c r="E1331" s="96" t="s">
        <v>318</v>
      </c>
      <c r="F1331" s="101">
        <v>3.24</v>
      </c>
      <c r="I1331" s="101">
        <v>3.01</v>
      </c>
      <c r="J1331" s="99">
        <f>Table336789101112131415[[#This Row],[Sched C/ County/ State]]-Table336789101112131415[[#This Row],[2025 Rate]]</f>
        <v>0.23</v>
      </c>
    </row>
    <row r="1332" spans="1:10" x14ac:dyDescent="0.2">
      <c r="A1332" s="93" t="s">
        <v>1070</v>
      </c>
      <c r="B1332" s="94" t="s">
        <v>187</v>
      </c>
      <c r="C1332" s="95">
        <v>2021</v>
      </c>
      <c r="D1332" s="96" t="s">
        <v>1030</v>
      </c>
      <c r="F1332" s="101">
        <v>3.05</v>
      </c>
      <c r="I1332" s="101">
        <v>2.85</v>
      </c>
      <c r="J1332" s="99">
        <f>Table336789101112131415[[#This Row],[Sched C/ County/ State]]-Table336789101112131415[[#This Row],[2025 Rate]]</f>
        <v>0.2</v>
      </c>
    </row>
    <row r="1333" spans="1:10" x14ac:dyDescent="0.2">
      <c r="A1333" s="93" t="s">
        <v>1071</v>
      </c>
      <c r="B1333" s="94" t="s">
        <v>863</v>
      </c>
      <c r="C1333" s="95">
        <v>2021</v>
      </c>
      <c r="D1333" s="96" t="s">
        <v>170</v>
      </c>
      <c r="E1333" s="96" t="s">
        <v>967</v>
      </c>
      <c r="F1333" s="101">
        <v>11.01</v>
      </c>
      <c r="I1333" s="101">
        <v>10.3</v>
      </c>
      <c r="J1333" s="99">
        <f>Table336789101112131415[[#This Row],[Sched C/ County/ State]]-Table336789101112131415[[#This Row],[2025 Rate]]</f>
        <v>0.71</v>
      </c>
    </row>
    <row r="1334" spans="1:10" x14ac:dyDescent="0.2">
      <c r="A1334" s="93" t="s">
        <v>1072</v>
      </c>
      <c r="B1334" s="94" t="s">
        <v>94</v>
      </c>
      <c r="C1334" s="95">
        <v>2021</v>
      </c>
      <c r="D1334" s="96" t="s">
        <v>1033</v>
      </c>
      <c r="E1334" s="96" t="s">
        <v>312</v>
      </c>
      <c r="F1334" s="101">
        <v>5.55</v>
      </c>
      <c r="I1334" s="101">
        <v>5.15</v>
      </c>
      <c r="J1334" s="99">
        <f>Table336789101112131415[[#This Row],[Sched C/ County/ State]]-Table336789101112131415[[#This Row],[2025 Rate]]</f>
        <v>0.4</v>
      </c>
    </row>
    <row r="1335" spans="1:10" ht="30" x14ac:dyDescent="0.2">
      <c r="A1335" s="93" t="s">
        <v>1073</v>
      </c>
      <c r="B1335" s="94" t="s">
        <v>989</v>
      </c>
      <c r="C1335" s="95">
        <v>2021</v>
      </c>
      <c r="D1335" s="96" t="s">
        <v>170</v>
      </c>
      <c r="E1335" s="96" t="s">
        <v>986</v>
      </c>
      <c r="F1335" s="101">
        <v>13.86</v>
      </c>
      <c r="I1335" s="101">
        <v>12.29</v>
      </c>
      <c r="J1335" s="99">
        <f>Table336789101112131415[[#This Row],[Sched C/ County/ State]]-Table336789101112131415[[#This Row],[2025 Rate]]</f>
        <v>1.57</v>
      </c>
    </row>
    <row r="1336" spans="1:10" x14ac:dyDescent="0.2">
      <c r="A1336" s="93" t="s">
        <v>1074</v>
      </c>
      <c r="B1336" s="94" t="s">
        <v>943</v>
      </c>
      <c r="C1336" s="95">
        <v>2021</v>
      </c>
      <c r="D1336" s="96" t="s">
        <v>170</v>
      </c>
      <c r="F1336" s="101">
        <v>13.06</v>
      </c>
      <c r="I1336" s="101">
        <v>12.22</v>
      </c>
      <c r="J1336" s="99">
        <f>Table336789101112131415[[#This Row],[Sched C/ County/ State]]-Table336789101112131415[[#This Row],[2025 Rate]]</f>
        <v>0.84</v>
      </c>
    </row>
    <row r="1337" spans="1:10" x14ac:dyDescent="0.2">
      <c r="A1337" s="93" t="s">
        <v>1075</v>
      </c>
      <c r="B1337" s="94" t="s">
        <v>187</v>
      </c>
      <c r="C1337" s="95">
        <v>2022</v>
      </c>
      <c r="D1337" s="96" t="s">
        <v>1030</v>
      </c>
      <c r="F1337" s="101">
        <v>3.05</v>
      </c>
      <c r="I1337" s="101">
        <v>2.85</v>
      </c>
      <c r="J1337" s="99">
        <f>Table336789101112131415[[#This Row],[Sched C/ County/ State]]-Table336789101112131415[[#This Row],[2025 Rate]]</f>
        <v>0.2</v>
      </c>
    </row>
    <row r="1338" spans="1:10" x14ac:dyDescent="0.2">
      <c r="A1338" s="93" t="s">
        <v>1076</v>
      </c>
      <c r="B1338" s="94" t="s">
        <v>863</v>
      </c>
      <c r="C1338" s="95">
        <v>2022</v>
      </c>
      <c r="D1338" s="96" t="s">
        <v>170</v>
      </c>
      <c r="E1338" s="96" t="s">
        <v>967</v>
      </c>
      <c r="F1338" s="101">
        <v>11.01</v>
      </c>
      <c r="I1338" s="101">
        <v>10.3</v>
      </c>
      <c r="J1338" s="99">
        <f>Table336789101112131415[[#This Row],[Sched C/ County/ State]]-Table336789101112131415[[#This Row],[2025 Rate]]</f>
        <v>0.71</v>
      </c>
    </row>
    <row r="1339" spans="1:10" ht="30" x14ac:dyDescent="0.2">
      <c r="A1339" s="93" t="s">
        <v>1077</v>
      </c>
      <c r="B1339" s="94" t="s">
        <v>989</v>
      </c>
      <c r="C1339" s="95">
        <v>2022</v>
      </c>
      <c r="D1339" s="96" t="s">
        <v>170</v>
      </c>
      <c r="E1339" s="96" t="s">
        <v>986</v>
      </c>
      <c r="F1339" s="101">
        <v>13.86</v>
      </c>
      <c r="I1339" s="101">
        <v>12.97</v>
      </c>
      <c r="J1339" s="99">
        <f>Table336789101112131415[[#This Row],[Sched C/ County/ State]]-Table336789101112131415[[#This Row],[2025 Rate]]</f>
        <v>0.89</v>
      </c>
    </row>
    <row r="1340" spans="1:10" x14ac:dyDescent="0.2">
      <c r="A1340" s="93" t="s">
        <v>1078</v>
      </c>
      <c r="B1340" s="94" t="s">
        <v>943</v>
      </c>
      <c r="C1340" s="95">
        <v>2022</v>
      </c>
      <c r="D1340" s="96" t="s">
        <v>170</v>
      </c>
      <c r="E1340" s="96" t="s">
        <v>1036</v>
      </c>
      <c r="F1340" s="101">
        <v>13.06</v>
      </c>
      <c r="I1340" s="101">
        <v>12.22</v>
      </c>
      <c r="J1340" s="99">
        <f>Table336789101112131415[[#This Row],[Sched C/ County/ State]]-Table336789101112131415[[#This Row],[2025 Rate]]</f>
        <v>0.84</v>
      </c>
    </row>
    <row r="1341" spans="1:10" x14ac:dyDescent="0.2">
      <c r="A1341" s="93" t="s">
        <v>1079</v>
      </c>
      <c r="B1341" s="94" t="s">
        <v>187</v>
      </c>
      <c r="C1341" s="95">
        <v>2022</v>
      </c>
      <c r="D1341" s="96" t="s">
        <v>1030</v>
      </c>
      <c r="F1341" s="101">
        <v>3.05</v>
      </c>
      <c r="I1341" s="101">
        <v>2.85</v>
      </c>
      <c r="J1341" s="99">
        <f>Table336789101112131415[[#This Row],[Sched C/ County/ State]]-Table336789101112131415[[#This Row],[2025 Rate]]</f>
        <v>0.2</v>
      </c>
    </row>
    <row r="1342" spans="1:10" x14ac:dyDescent="0.2">
      <c r="A1342" s="93" t="s">
        <v>1080</v>
      </c>
      <c r="B1342" s="94" t="s">
        <v>863</v>
      </c>
      <c r="C1342" s="95">
        <v>2022</v>
      </c>
      <c r="D1342" s="96" t="s">
        <v>170</v>
      </c>
      <c r="E1342" s="96" t="s">
        <v>967</v>
      </c>
      <c r="F1342" s="101">
        <v>11.01</v>
      </c>
      <c r="I1342" s="101">
        <v>10.3</v>
      </c>
      <c r="J1342" s="99">
        <f>Table336789101112131415[[#This Row],[Sched C/ County/ State]]-Table336789101112131415[[#This Row],[2025 Rate]]</f>
        <v>0.71</v>
      </c>
    </row>
    <row r="1343" spans="1:10" ht="30" x14ac:dyDescent="0.2">
      <c r="A1343" s="93" t="s">
        <v>1081</v>
      </c>
      <c r="B1343" s="94" t="s">
        <v>989</v>
      </c>
      <c r="C1343" s="95">
        <v>2022</v>
      </c>
      <c r="D1343" s="96" t="s">
        <v>170</v>
      </c>
      <c r="E1343" s="96" t="s">
        <v>986</v>
      </c>
      <c r="F1343" s="101">
        <v>13.86</v>
      </c>
      <c r="I1343" s="101">
        <v>12.97</v>
      </c>
      <c r="J1343" s="99">
        <f>Table336789101112131415[[#This Row],[Sched C/ County/ State]]-Table336789101112131415[[#This Row],[2025 Rate]]</f>
        <v>0.89</v>
      </c>
    </row>
    <row r="1344" spans="1:10" x14ac:dyDescent="0.2">
      <c r="A1344" s="93" t="s">
        <v>1082</v>
      </c>
      <c r="B1344" s="94" t="s">
        <v>943</v>
      </c>
      <c r="C1344" s="95">
        <v>2022</v>
      </c>
      <c r="D1344" s="96" t="s">
        <v>170</v>
      </c>
      <c r="E1344" s="96" t="s">
        <v>1036</v>
      </c>
      <c r="F1344" s="101">
        <v>13.06</v>
      </c>
      <c r="I1344" s="101">
        <v>12.22</v>
      </c>
      <c r="J1344" s="99">
        <f>Table336789101112131415[[#This Row],[Sched C/ County/ State]]-Table336789101112131415[[#This Row],[2025 Rate]]</f>
        <v>0.84</v>
      </c>
    </row>
    <row r="1345" spans="1:10" x14ac:dyDescent="0.2">
      <c r="A1345" s="93" t="s">
        <v>1083</v>
      </c>
      <c r="B1345" s="94" t="s">
        <v>187</v>
      </c>
      <c r="C1345" s="95">
        <v>2022</v>
      </c>
      <c r="D1345" s="96" t="s">
        <v>1030</v>
      </c>
      <c r="F1345" s="101">
        <v>3.05</v>
      </c>
      <c r="I1345" s="101">
        <v>2.85</v>
      </c>
      <c r="J1345" s="99">
        <f>Table336789101112131415[[#This Row],[Sched C/ County/ State]]-Table336789101112131415[[#This Row],[2025 Rate]]</f>
        <v>0.2</v>
      </c>
    </row>
    <row r="1346" spans="1:10" x14ac:dyDescent="0.2">
      <c r="A1346" s="93" t="s">
        <v>1084</v>
      </c>
      <c r="B1346" s="94" t="s">
        <v>863</v>
      </c>
      <c r="C1346" s="95">
        <v>2022</v>
      </c>
      <c r="D1346" s="96" t="s">
        <v>170</v>
      </c>
      <c r="E1346" s="96" t="s">
        <v>967</v>
      </c>
      <c r="F1346" s="101">
        <v>11.01</v>
      </c>
      <c r="I1346" s="101">
        <v>10.3</v>
      </c>
      <c r="J1346" s="99">
        <f>Table336789101112131415[[#This Row],[Sched C/ County/ State]]-Table336789101112131415[[#This Row],[2025 Rate]]</f>
        <v>0.71</v>
      </c>
    </row>
    <row r="1347" spans="1:10" ht="30" x14ac:dyDescent="0.2">
      <c r="A1347" s="93" t="s">
        <v>1085</v>
      </c>
      <c r="B1347" s="94" t="s">
        <v>989</v>
      </c>
      <c r="C1347" s="95">
        <v>2022</v>
      </c>
      <c r="D1347" s="96" t="s">
        <v>170</v>
      </c>
      <c r="E1347" s="96" t="s">
        <v>986</v>
      </c>
      <c r="F1347" s="101">
        <v>13.86</v>
      </c>
      <c r="I1347" s="101">
        <v>12.29</v>
      </c>
      <c r="J1347" s="99">
        <f>Table336789101112131415[[#This Row],[Sched C/ County/ State]]-Table336789101112131415[[#This Row],[2025 Rate]]</f>
        <v>1.57</v>
      </c>
    </row>
    <row r="1348" spans="1:10" x14ac:dyDescent="0.2">
      <c r="A1348" s="93" t="s">
        <v>1086</v>
      </c>
      <c r="B1348" s="94" t="s">
        <v>943</v>
      </c>
      <c r="C1348" s="95">
        <v>2022</v>
      </c>
      <c r="D1348" s="96" t="s">
        <v>170</v>
      </c>
      <c r="E1348" s="96" t="s">
        <v>1036</v>
      </c>
      <c r="F1348" s="101">
        <v>13.06</v>
      </c>
      <c r="I1348" s="101">
        <v>12.22</v>
      </c>
      <c r="J1348" s="99">
        <f>Table336789101112131415[[#This Row],[Sched C/ County/ State]]-Table336789101112131415[[#This Row],[2025 Rate]]</f>
        <v>0.84</v>
      </c>
    </row>
    <row r="1349" spans="1:10" x14ac:dyDescent="0.2">
      <c r="A1349" s="93" t="s">
        <v>1087</v>
      </c>
      <c r="B1349" s="94" t="s">
        <v>187</v>
      </c>
      <c r="C1349" s="95">
        <v>2022</v>
      </c>
      <c r="D1349" s="96" t="s">
        <v>1030</v>
      </c>
      <c r="F1349" s="101">
        <v>3.05</v>
      </c>
      <c r="I1349" s="101">
        <v>2.85</v>
      </c>
      <c r="J1349" s="99">
        <f>Table336789101112131415[[#This Row],[Sched C/ County/ State]]-Table336789101112131415[[#This Row],[2025 Rate]]</f>
        <v>0.2</v>
      </c>
    </row>
    <row r="1350" spans="1:10" x14ac:dyDescent="0.2">
      <c r="A1350" s="93" t="s">
        <v>1088</v>
      </c>
      <c r="B1350" s="94" t="s">
        <v>863</v>
      </c>
      <c r="C1350" s="95">
        <v>2022</v>
      </c>
      <c r="D1350" s="96" t="s">
        <v>170</v>
      </c>
      <c r="E1350" s="96" t="s">
        <v>967</v>
      </c>
      <c r="F1350" s="101">
        <v>11.01</v>
      </c>
      <c r="I1350" s="101">
        <v>10.3</v>
      </c>
      <c r="J1350" s="99">
        <f>Table336789101112131415[[#This Row],[Sched C/ County/ State]]-Table336789101112131415[[#This Row],[2025 Rate]]</f>
        <v>0.71</v>
      </c>
    </row>
    <row r="1351" spans="1:10" ht="30" x14ac:dyDescent="0.2">
      <c r="A1351" s="93" t="s">
        <v>1089</v>
      </c>
      <c r="B1351" s="94" t="s">
        <v>989</v>
      </c>
      <c r="C1351" s="95">
        <v>2022</v>
      </c>
      <c r="D1351" s="96" t="s">
        <v>170</v>
      </c>
      <c r="E1351" s="96" t="s">
        <v>986</v>
      </c>
      <c r="F1351" s="101">
        <v>13.86</v>
      </c>
      <c r="I1351" s="101">
        <v>12.97</v>
      </c>
      <c r="J1351" s="99">
        <f>Table336789101112131415[[#This Row],[Sched C/ County/ State]]-Table336789101112131415[[#This Row],[2025 Rate]]</f>
        <v>0.89</v>
      </c>
    </row>
    <row r="1352" spans="1:10" x14ac:dyDescent="0.2">
      <c r="A1352" s="93" t="s">
        <v>1090</v>
      </c>
      <c r="B1352" s="94" t="s">
        <v>943</v>
      </c>
      <c r="C1352" s="95">
        <v>2022</v>
      </c>
      <c r="D1352" s="96" t="s">
        <v>170</v>
      </c>
      <c r="E1352" s="96" t="s">
        <v>1036</v>
      </c>
      <c r="F1352" s="101">
        <v>13.06</v>
      </c>
      <c r="I1352" s="101">
        <v>12.22</v>
      </c>
      <c r="J1352" s="99">
        <f>Table336789101112131415[[#This Row],[Sched C/ County/ State]]-Table336789101112131415[[#This Row],[2025 Rate]]</f>
        <v>0.84</v>
      </c>
    </row>
    <row r="1353" spans="1:10" x14ac:dyDescent="0.2">
      <c r="A1353" s="93" t="s">
        <v>1091</v>
      </c>
      <c r="B1353" s="94" t="s">
        <v>187</v>
      </c>
      <c r="C1353" s="95">
        <v>2022</v>
      </c>
      <c r="D1353" s="96" t="s">
        <v>1030</v>
      </c>
      <c r="F1353" s="101">
        <v>3.05</v>
      </c>
      <c r="I1353" s="101">
        <v>2.85</v>
      </c>
      <c r="J1353" s="99">
        <f>Table336789101112131415[[#This Row],[Sched C/ County/ State]]-Table336789101112131415[[#This Row],[2025 Rate]]</f>
        <v>0.2</v>
      </c>
    </row>
    <row r="1354" spans="1:10" x14ac:dyDescent="0.2">
      <c r="A1354" s="93" t="s">
        <v>1092</v>
      </c>
      <c r="B1354" s="94" t="s">
        <v>863</v>
      </c>
      <c r="C1354" s="95">
        <v>2022</v>
      </c>
      <c r="D1354" s="96" t="s">
        <v>170</v>
      </c>
      <c r="E1354" s="96" t="s">
        <v>967</v>
      </c>
      <c r="F1354" s="101">
        <v>11.01</v>
      </c>
      <c r="I1354" s="101">
        <v>10.3</v>
      </c>
      <c r="J1354" s="99">
        <f>Table336789101112131415[[#This Row],[Sched C/ County/ State]]-Table336789101112131415[[#This Row],[2025 Rate]]</f>
        <v>0.71</v>
      </c>
    </row>
    <row r="1355" spans="1:10" ht="30" x14ac:dyDescent="0.2">
      <c r="A1355" s="93" t="s">
        <v>1093</v>
      </c>
      <c r="B1355" s="94" t="s">
        <v>989</v>
      </c>
      <c r="C1355" s="95">
        <v>2022</v>
      </c>
      <c r="D1355" s="96" t="s">
        <v>170</v>
      </c>
      <c r="E1355" s="96" t="s">
        <v>986</v>
      </c>
      <c r="F1355" s="101">
        <v>13.86</v>
      </c>
      <c r="I1355" s="101">
        <v>12.97</v>
      </c>
      <c r="J1355" s="99">
        <f>Table336789101112131415[[#This Row],[Sched C/ County/ State]]-Table336789101112131415[[#This Row],[2025 Rate]]</f>
        <v>0.89</v>
      </c>
    </row>
    <row r="1356" spans="1:10" x14ac:dyDescent="0.2">
      <c r="A1356" s="93" t="s">
        <v>1094</v>
      </c>
      <c r="B1356" s="94" t="s">
        <v>943</v>
      </c>
      <c r="C1356" s="95">
        <v>2022</v>
      </c>
      <c r="D1356" s="96" t="s">
        <v>170</v>
      </c>
      <c r="E1356" s="96" t="s">
        <v>1036</v>
      </c>
      <c r="F1356" s="101">
        <v>13.06</v>
      </c>
      <c r="I1356" s="101">
        <v>12.22</v>
      </c>
      <c r="J1356" s="99">
        <f>Table336789101112131415[[#This Row],[Sched C/ County/ State]]-Table336789101112131415[[#This Row],[2025 Rate]]</f>
        <v>0.84</v>
      </c>
    </row>
    <row r="1357" spans="1:10" x14ac:dyDescent="0.2">
      <c r="A1357" s="93" t="s">
        <v>1095</v>
      </c>
      <c r="B1357" s="94" t="s">
        <v>187</v>
      </c>
      <c r="C1357" s="95">
        <v>2022</v>
      </c>
      <c r="D1357" s="96" t="s">
        <v>1030</v>
      </c>
      <c r="F1357" s="101">
        <v>3.05</v>
      </c>
      <c r="I1357" s="101">
        <v>2.85</v>
      </c>
      <c r="J1357" s="99">
        <f>Table336789101112131415[[#This Row],[Sched C/ County/ State]]-Table336789101112131415[[#This Row],[2025 Rate]]</f>
        <v>0.2</v>
      </c>
    </row>
    <row r="1358" spans="1:10" x14ac:dyDescent="0.2">
      <c r="A1358" s="93" t="s">
        <v>1096</v>
      </c>
      <c r="B1358" s="94" t="s">
        <v>863</v>
      </c>
      <c r="C1358" s="95">
        <v>2022</v>
      </c>
      <c r="D1358" s="96" t="s">
        <v>170</v>
      </c>
      <c r="E1358" s="96" t="s">
        <v>967</v>
      </c>
      <c r="F1358" s="101">
        <v>11.01</v>
      </c>
      <c r="I1358" s="101">
        <v>10.3</v>
      </c>
      <c r="J1358" s="99">
        <f>Table336789101112131415[[#This Row],[Sched C/ County/ State]]-Table336789101112131415[[#This Row],[2025 Rate]]</f>
        <v>0.71</v>
      </c>
    </row>
    <row r="1359" spans="1:10" ht="30" x14ac:dyDescent="0.2">
      <c r="A1359" s="93" t="s">
        <v>1097</v>
      </c>
      <c r="B1359" s="94" t="s">
        <v>989</v>
      </c>
      <c r="C1359" s="95">
        <v>2022</v>
      </c>
      <c r="D1359" s="96" t="s">
        <v>1098</v>
      </c>
      <c r="E1359" s="96" t="s">
        <v>986</v>
      </c>
      <c r="F1359" s="101">
        <v>13.86</v>
      </c>
      <c r="I1359" s="101">
        <v>12.97</v>
      </c>
      <c r="J1359" s="99">
        <f>Table336789101112131415[[#This Row],[Sched C/ County/ State]]-Table336789101112131415[[#This Row],[2025 Rate]]</f>
        <v>0.89</v>
      </c>
    </row>
    <row r="1360" spans="1:10" x14ac:dyDescent="0.2">
      <c r="A1360" s="93" t="s">
        <v>1099</v>
      </c>
      <c r="B1360" s="94" t="s">
        <v>943</v>
      </c>
      <c r="C1360" s="95">
        <v>2022</v>
      </c>
      <c r="D1360" s="96" t="s">
        <v>170</v>
      </c>
      <c r="E1360" s="96" t="s">
        <v>1036</v>
      </c>
      <c r="F1360" s="101">
        <v>13.06</v>
      </c>
      <c r="I1360" s="101">
        <v>12.22</v>
      </c>
      <c r="J1360" s="99">
        <f>Table336789101112131415[[#This Row],[Sched C/ County/ State]]-Table336789101112131415[[#This Row],[2025 Rate]]</f>
        <v>0.84</v>
      </c>
    </row>
    <row r="1361" spans="1:10" x14ac:dyDescent="0.2">
      <c r="A1361" s="93" t="s">
        <v>1100</v>
      </c>
      <c r="B1361" s="94" t="s">
        <v>187</v>
      </c>
      <c r="C1361" s="95">
        <v>2022</v>
      </c>
      <c r="D1361" s="96" t="s">
        <v>1030</v>
      </c>
      <c r="F1361" s="101">
        <v>3.05</v>
      </c>
      <c r="I1361" s="101">
        <v>2.85</v>
      </c>
      <c r="J1361" s="99">
        <f>Table336789101112131415[[#This Row],[Sched C/ County/ State]]-Table336789101112131415[[#This Row],[2025 Rate]]</f>
        <v>0.2</v>
      </c>
    </row>
    <row r="1362" spans="1:10" x14ac:dyDescent="0.2">
      <c r="A1362" s="93" t="s">
        <v>1101</v>
      </c>
      <c r="B1362" s="94" t="s">
        <v>863</v>
      </c>
      <c r="C1362" s="95">
        <v>2022</v>
      </c>
      <c r="D1362" s="96" t="s">
        <v>170</v>
      </c>
      <c r="E1362" s="96" t="s">
        <v>967</v>
      </c>
      <c r="F1362" s="101">
        <v>11.01</v>
      </c>
      <c r="I1362" s="101">
        <v>10.3</v>
      </c>
      <c r="J1362" s="99">
        <f>Table336789101112131415[[#This Row],[Sched C/ County/ State]]-Table336789101112131415[[#This Row],[2025 Rate]]</f>
        <v>0.71</v>
      </c>
    </row>
    <row r="1363" spans="1:10" ht="30" x14ac:dyDescent="0.2">
      <c r="A1363" s="93" t="s">
        <v>1102</v>
      </c>
      <c r="B1363" s="94" t="s">
        <v>989</v>
      </c>
      <c r="C1363" s="95">
        <v>2022</v>
      </c>
      <c r="D1363" s="96" t="s">
        <v>170</v>
      </c>
      <c r="E1363" s="96" t="s">
        <v>986</v>
      </c>
      <c r="F1363" s="101">
        <v>13.86</v>
      </c>
      <c r="I1363" s="101">
        <v>12.97</v>
      </c>
      <c r="J1363" s="99">
        <f>Table336789101112131415[[#This Row],[Sched C/ County/ State]]-Table336789101112131415[[#This Row],[2025 Rate]]</f>
        <v>0.89</v>
      </c>
    </row>
    <row r="1364" spans="1:10" x14ac:dyDescent="0.2">
      <c r="A1364" s="93" t="s">
        <v>1103</v>
      </c>
      <c r="B1364" s="94" t="s">
        <v>943</v>
      </c>
      <c r="C1364" s="95">
        <v>2022</v>
      </c>
      <c r="D1364" s="96" t="s">
        <v>170</v>
      </c>
      <c r="E1364" s="96" t="s">
        <v>1036</v>
      </c>
      <c r="F1364" s="101">
        <v>13.06</v>
      </c>
      <c r="I1364" s="101">
        <v>12.22</v>
      </c>
      <c r="J1364" s="99">
        <f>Table336789101112131415[[#This Row],[Sched C/ County/ State]]-Table336789101112131415[[#This Row],[2025 Rate]]</f>
        <v>0.84</v>
      </c>
    </row>
    <row r="1365" spans="1:10" x14ac:dyDescent="0.2">
      <c r="A1365" s="93" t="s">
        <v>1104</v>
      </c>
      <c r="B1365" s="94" t="s">
        <v>317</v>
      </c>
      <c r="C1365" s="95">
        <v>2024</v>
      </c>
      <c r="D1365" s="96" t="s">
        <v>325</v>
      </c>
      <c r="E1365" s="96" t="s">
        <v>318</v>
      </c>
      <c r="F1365" s="101">
        <v>3.24</v>
      </c>
      <c r="I1365" s="101">
        <v>3.01</v>
      </c>
      <c r="J1365" s="99">
        <f>Table336789101112131415[[#This Row],[Sched C/ County/ State]]-Table336789101112131415[[#This Row],[2025 Rate]]</f>
        <v>0.23</v>
      </c>
    </row>
    <row r="1366" spans="1:10" x14ac:dyDescent="0.2">
      <c r="A1366" s="93" t="s">
        <v>1105</v>
      </c>
      <c r="B1366" s="94" t="s">
        <v>187</v>
      </c>
      <c r="C1366" s="95">
        <v>2024</v>
      </c>
      <c r="D1366" s="96" t="s">
        <v>1030</v>
      </c>
      <c r="F1366" s="101">
        <v>3.05</v>
      </c>
      <c r="I1366" s="101">
        <v>2.7</v>
      </c>
      <c r="J1366" s="99">
        <f>Table336789101112131415[[#This Row],[Sched C/ County/ State]]-Table336789101112131415[[#This Row],[2025 Rate]]</f>
        <v>0.35</v>
      </c>
    </row>
    <row r="1367" spans="1:10" x14ac:dyDescent="0.2">
      <c r="A1367" s="93" t="s">
        <v>1106</v>
      </c>
      <c r="B1367" s="94" t="s">
        <v>863</v>
      </c>
      <c r="C1367" s="95">
        <v>2024</v>
      </c>
      <c r="D1367" s="96" t="s">
        <v>170</v>
      </c>
      <c r="E1367" s="96" t="s">
        <v>967</v>
      </c>
      <c r="F1367" s="101">
        <v>11.01</v>
      </c>
      <c r="I1367" s="101">
        <v>10.3</v>
      </c>
      <c r="J1367" s="99">
        <f>Table336789101112131415[[#This Row],[Sched C/ County/ State]]-Table336789101112131415[[#This Row],[2025 Rate]]</f>
        <v>0.71</v>
      </c>
    </row>
    <row r="1368" spans="1:10" ht="30" x14ac:dyDescent="0.2">
      <c r="A1368" s="93" t="s">
        <v>1107</v>
      </c>
      <c r="B1368" s="94" t="s">
        <v>989</v>
      </c>
      <c r="C1368" s="95">
        <v>2024</v>
      </c>
      <c r="D1368" s="96" t="s">
        <v>170</v>
      </c>
      <c r="E1368" s="96" t="s">
        <v>986</v>
      </c>
      <c r="F1368" s="101">
        <v>13.86</v>
      </c>
      <c r="I1368" s="101">
        <v>12.97</v>
      </c>
      <c r="J1368" s="99">
        <f>Table336789101112131415[[#This Row],[Sched C/ County/ State]]-Table336789101112131415[[#This Row],[2025 Rate]]</f>
        <v>0.89</v>
      </c>
    </row>
    <row r="1369" spans="1:10" x14ac:dyDescent="0.2">
      <c r="A1369" s="93" t="s">
        <v>1108</v>
      </c>
      <c r="B1369" s="94" t="s">
        <v>943</v>
      </c>
      <c r="C1369" s="95">
        <v>2024</v>
      </c>
      <c r="D1369" s="96" t="s">
        <v>170</v>
      </c>
      <c r="E1369" s="96" t="s">
        <v>1036</v>
      </c>
      <c r="F1369" s="101">
        <v>13.06</v>
      </c>
      <c r="I1369" s="101">
        <v>12.22</v>
      </c>
      <c r="J1369" s="99">
        <f>Table336789101112131415[[#This Row],[Sched C/ County/ State]]-Table336789101112131415[[#This Row],[2025 Rate]]</f>
        <v>0.84</v>
      </c>
    </row>
    <row r="1370" spans="1:10" x14ac:dyDescent="0.2">
      <c r="A1370" s="93" t="s">
        <v>1109</v>
      </c>
      <c r="B1370" s="94" t="s">
        <v>317</v>
      </c>
      <c r="C1370" s="95">
        <v>2024</v>
      </c>
      <c r="D1370" s="96" t="s">
        <v>325</v>
      </c>
      <c r="E1370" s="96" t="s">
        <v>318</v>
      </c>
      <c r="F1370" s="101">
        <v>3.24</v>
      </c>
      <c r="I1370" s="101">
        <v>3.01</v>
      </c>
      <c r="J1370" s="99">
        <f>Table336789101112131415[[#This Row],[Sched C/ County/ State]]-Table336789101112131415[[#This Row],[2025 Rate]]</f>
        <v>0.23</v>
      </c>
    </row>
    <row r="1371" spans="1:10" x14ac:dyDescent="0.2">
      <c r="A1371" s="93" t="s">
        <v>1110</v>
      </c>
      <c r="B1371" s="94" t="s">
        <v>187</v>
      </c>
      <c r="C1371" s="95">
        <v>2024</v>
      </c>
      <c r="D1371" s="96" t="s">
        <v>1030</v>
      </c>
      <c r="F1371" s="101">
        <v>3.05</v>
      </c>
      <c r="I1371" s="101">
        <v>2.85</v>
      </c>
      <c r="J1371" s="99">
        <f>Table336789101112131415[[#This Row],[Sched C/ County/ State]]-Table336789101112131415[[#This Row],[2025 Rate]]</f>
        <v>0.2</v>
      </c>
    </row>
    <row r="1372" spans="1:10" x14ac:dyDescent="0.2">
      <c r="A1372" s="93" t="s">
        <v>1111</v>
      </c>
      <c r="B1372" s="94" t="s">
        <v>863</v>
      </c>
      <c r="C1372" s="95">
        <v>2024</v>
      </c>
      <c r="D1372" s="96" t="s">
        <v>170</v>
      </c>
      <c r="E1372" s="96" t="s">
        <v>967</v>
      </c>
      <c r="F1372" s="101">
        <v>11.01</v>
      </c>
      <c r="I1372" s="101">
        <v>10.3</v>
      </c>
      <c r="J1372" s="99">
        <f>Table336789101112131415[[#This Row],[Sched C/ County/ State]]-Table336789101112131415[[#This Row],[2025 Rate]]</f>
        <v>0.71</v>
      </c>
    </row>
    <row r="1373" spans="1:10" ht="30" x14ac:dyDescent="0.2">
      <c r="A1373" s="93" t="s">
        <v>1112</v>
      </c>
      <c r="B1373" s="94" t="s">
        <v>989</v>
      </c>
      <c r="C1373" s="95">
        <v>2024</v>
      </c>
      <c r="D1373" s="96" t="s">
        <v>170</v>
      </c>
      <c r="E1373" s="96" t="s">
        <v>986</v>
      </c>
      <c r="F1373" s="101">
        <v>13.86</v>
      </c>
      <c r="I1373" s="101">
        <v>12.97</v>
      </c>
      <c r="J1373" s="99">
        <f>Table336789101112131415[[#This Row],[Sched C/ County/ State]]-Table336789101112131415[[#This Row],[2025 Rate]]</f>
        <v>0.89</v>
      </c>
    </row>
    <row r="1374" spans="1:10" x14ac:dyDescent="0.2">
      <c r="A1374" s="93" t="s">
        <v>1113</v>
      </c>
      <c r="B1374" s="94" t="s">
        <v>943</v>
      </c>
      <c r="C1374" s="95">
        <v>2024</v>
      </c>
      <c r="D1374" s="96" t="s">
        <v>170</v>
      </c>
      <c r="E1374" s="96" t="s">
        <v>1036</v>
      </c>
      <c r="F1374" s="101">
        <v>13.06</v>
      </c>
      <c r="I1374" s="101">
        <v>12.22</v>
      </c>
      <c r="J1374" s="99">
        <f>Table336789101112131415[[#This Row],[Sched C/ County/ State]]-Table336789101112131415[[#This Row],[2025 Rate]]</f>
        <v>0.84</v>
      </c>
    </row>
    <row r="1375" spans="1:10" x14ac:dyDescent="0.2">
      <c r="A1375" s="93" t="s">
        <v>1114</v>
      </c>
      <c r="B1375" s="94" t="s">
        <v>317</v>
      </c>
      <c r="C1375" s="95">
        <v>2024</v>
      </c>
      <c r="D1375" s="96" t="s">
        <v>325</v>
      </c>
      <c r="E1375" s="96" t="s">
        <v>318</v>
      </c>
      <c r="F1375" s="101">
        <v>3.24</v>
      </c>
      <c r="I1375" s="101">
        <v>3.01</v>
      </c>
      <c r="J1375" s="99">
        <f>Table336789101112131415[[#This Row],[Sched C/ County/ State]]-Table336789101112131415[[#This Row],[2025 Rate]]</f>
        <v>0.23</v>
      </c>
    </row>
    <row r="1376" spans="1:10" x14ac:dyDescent="0.2">
      <c r="A1376" s="93" t="s">
        <v>1115</v>
      </c>
      <c r="B1376" s="94" t="s">
        <v>187</v>
      </c>
      <c r="C1376" s="95">
        <v>2024</v>
      </c>
      <c r="D1376" s="96" t="s">
        <v>1030</v>
      </c>
      <c r="F1376" s="101">
        <v>3.05</v>
      </c>
      <c r="I1376" s="101">
        <v>2.85</v>
      </c>
      <c r="J1376" s="99">
        <f>Table336789101112131415[[#This Row],[Sched C/ County/ State]]-Table336789101112131415[[#This Row],[2025 Rate]]</f>
        <v>0.2</v>
      </c>
    </row>
    <row r="1377" spans="1:10" x14ac:dyDescent="0.2">
      <c r="A1377" s="93" t="s">
        <v>1116</v>
      </c>
      <c r="B1377" s="94" t="s">
        <v>863</v>
      </c>
      <c r="C1377" s="95">
        <v>2024</v>
      </c>
      <c r="D1377" s="96" t="s">
        <v>170</v>
      </c>
      <c r="E1377" s="96" t="s">
        <v>967</v>
      </c>
      <c r="F1377" s="101">
        <v>11.01</v>
      </c>
      <c r="I1377" s="101">
        <v>10.3</v>
      </c>
      <c r="J1377" s="99">
        <f>Table336789101112131415[[#This Row],[Sched C/ County/ State]]-Table336789101112131415[[#This Row],[2025 Rate]]</f>
        <v>0.71</v>
      </c>
    </row>
    <row r="1378" spans="1:10" ht="30" x14ac:dyDescent="0.2">
      <c r="A1378" s="93" t="s">
        <v>1117</v>
      </c>
      <c r="B1378" s="94" t="s">
        <v>989</v>
      </c>
      <c r="C1378" s="95">
        <v>2024</v>
      </c>
      <c r="D1378" s="96" t="s">
        <v>170</v>
      </c>
      <c r="E1378" s="96" t="s">
        <v>986</v>
      </c>
      <c r="F1378" s="101">
        <v>13.86</v>
      </c>
      <c r="I1378" s="101">
        <v>12.97</v>
      </c>
      <c r="J1378" s="99">
        <f>Table336789101112131415[[#This Row],[Sched C/ County/ State]]-Table336789101112131415[[#This Row],[2025 Rate]]</f>
        <v>0.89</v>
      </c>
    </row>
    <row r="1379" spans="1:10" x14ac:dyDescent="0.2">
      <c r="A1379" s="93" t="s">
        <v>1118</v>
      </c>
      <c r="B1379" s="94" t="s">
        <v>943</v>
      </c>
      <c r="C1379" s="95">
        <v>2024</v>
      </c>
      <c r="D1379" s="96" t="s">
        <v>170</v>
      </c>
      <c r="E1379" s="96" t="s">
        <v>1036</v>
      </c>
      <c r="F1379" s="101">
        <v>13.06</v>
      </c>
      <c r="I1379" s="101">
        <v>12.22</v>
      </c>
      <c r="J1379" s="99">
        <f>Table336789101112131415[[#This Row],[Sched C/ County/ State]]-Table336789101112131415[[#This Row],[2025 Rate]]</f>
        <v>0.84</v>
      </c>
    </row>
    <row r="1380" spans="1:10" x14ac:dyDescent="0.2">
      <c r="A1380" s="93" t="s">
        <v>1119</v>
      </c>
      <c r="B1380" s="94" t="s">
        <v>1120</v>
      </c>
      <c r="C1380" s="95">
        <v>2021</v>
      </c>
      <c r="D1380" s="96" t="s">
        <v>1121</v>
      </c>
      <c r="F1380" s="101">
        <v>3.38</v>
      </c>
      <c r="I1380" s="101">
        <v>3.16</v>
      </c>
      <c r="J1380" s="99">
        <f>Table336789101112131415[[#This Row],[Sched C/ County/ State]]-Table336789101112131415[[#This Row],[2025 Rate]]</f>
        <v>0.22</v>
      </c>
    </row>
    <row r="1381" spans="1:10" x14ac:dyDescent="0.2">
      <c r="A1381" s="93" t="s">
        <v>1122</v>
      </c>
      <c r="B1381" s="94" t="s">
        <v>454</v>
      </c>
      <c r="C1381" s="95">
        <v>2021</v>
      </c>
      <c r="D1381" s="96" t="s">
        <v>433</v>
      </c>
      <c r="F1381" s="101">
        <v>6.17</v>
      </c>
      <c r="I1381" s="101">
        <v>5.77</v>
      </c>
      <c r="J1381" s="99">
        <f>Table336789101112131415[[#This Row],[Sched C/ County/ State]]-Table336789101112131415[[#This Row],[2025 Rate]]</f>
        <v>0.4</v>
      </c>
    </row>
    <row r="1382" spans="1:10" x14ac:dyDescent="0.2">
      <c r="A1382" s="93" t="s">
        <v>1123</v>
      </c>
      <c r="B1382" s="94" t="s">
        <v>454</v>
      </c>
      <c r="C1382" s="95">
        <v>2022</v>
      </c>
      <c r="D1382" s="96" t="s">
        <v>455</v>
      </c>
      <c r="F1382" s="101">
        <v>6.17</v>
      </c>
      <c r="I1382" s="101">
        <v>5.77</v>
      </c>
      <c r="J1382" s="99">
        <f>Table336789101112131415[[#This Row],[Sched C/ County/ State]]-Table336789101112131415[[#This Row],[2025 Rate]]</f>
        <v>0.4</v>
      </c>
    </row>
    <row r="1383" spans="1:10" x14ac:dyDescent="0.2">
      <c r="A1383" s="93" t="s">
        <v>1124</v>
      </c>
      <c r="B1383" s="94" t="s">
        <v>1125</v>
      </c>
      <c r="C1383" s="95">
        <v>2024</v>
      </c>
      <c r="D1383" s="96" t="s">
        <v>1126</v>
      </c>
      <c r="F1383" s="101">
        <v>20.03</v>
      </c>
      <c r="I1383" s="101">
        <v>18.600000000000001</v>
      </c>
      <c r="J1383" s="99">
        <f>Table336789101112131415[[#This Row],[Sched C/ County/ State]]-Table336789101112131415[[#This Row],[2025 Rate]]</f>
        <v>1.43</v>
      </c>
    </row>
    <row r="1384" spans="1:10" x14ac:dyDescent="0.2">
      <c r="A1384" s="93" t="s">
        <v>1127</v>
      </c>
      <c r="B1384" s="94" t="s">
        <v>1125</v>
      </c>
      <c r="C1384" s="95">
        <v>2024</v>
      </c>
      <c r="D1384" s="96" t="s">
        <v>1126</v>
      </c>
      <c r="F1384" s="101">
        <v>20.03</v>
      </c>
      <c r="I1384" s="101">
        <v>18.600000000000001</v>
      </c>
      <c r="J1384" s="99">
        <f>Table336789101112131415[[#This Row],[Sched C/ County/ State]]-Table336789101112131415[[#This Row],[2025 Rate]]</f>
        <v>1.43</v>
      </c>
    </row>
    <row r="1385" spans="1:10" x14ac:dyDescent="0.2">
      <c r="A1385" s="93" t="s">
        <v>1128</v>
      </c>
      <c r="B1385" s="94" t="s">
        <v>1125</v>
      </c>
      <c r="C1385" s="95">
        <v>2024</v>
      </c>
      <c r="D1385" s="96" t="s">
        <v>1126</v>
      </c>
      <c r="F1385" s="101">
        <v>20.03</v>
      </c>
      <c r="I1385" s="101">
        <v>18.600000000000001</v>
      </c>
      <c r="J1385" s="99">
        <f>Table336789101112131415[[#This Row],[Sched C/ County/ State]]-Table336789101112131415[[#This Row],[2025 Rate]]</f>
        <v>1.43</v>
      </c>
    </row>
    <row r="1386" spans="1:10" x14ac:dyDescent="0.2">
      <c r="A1386" s="93" t="s">
        <v>1129</v>
      </c>
      <c r="B1386" s="94" t="s">
        <v>1125</v>
      </c>
      <c r="C1386" s="95">
        <v>2024</v>
      </c>
      <c r="D1386" s="96" t="s">
        <v>1126</v>
      </c>
      <c r="F1386" s="101">
        <v>20.03</v>
      </c>
      <c r="I1386" s="101">
        <v>18.600000000000001</v>
      </c>
      <c r="J1386" s="99">
        <f>Table336789101112131415[[#This Row],[Sched C/ County/ State]]-Table336789101112131415[[#This Row],[2025 Rate]]</f>
        <v>1.43</v>
      </c>
    </row>
    <row r="1387" spans="1:10" x14ac:dyDescent="0.2">
      <c r="A1387" s="93" t="s">
        <v>1130</v>
      </c>
      <c r="B1387" s="94" t="s">
        <v>1125</v>
      </c>
      <c r="C1387" s="95">
        <v>2024</v>
      </c>
      <c r="D1387" s="96" t="s">
        <v>1126</v>
      </c>
      <c r="F1387" s="101">
        <v>20.03</v>
      </c>
      <c r="I1387" s="101">
        <v>18.600000000000001</v>
      </c>
      <c r="J1387" s="99">
        <f>Table336789101112131415[[#This Row],[Sched C/ County/ State]]-Table336789101112131415[[#This Row],[2025 Rate]]</f>
        <v>1.43</v>
      </c>
    </row>
    <row r="1388" spans="1:10" x14ac:dyDescent="0.2">
      <c r="A1388" s="93" t="s">
        <v>1131</v>
      </c>
      <c r="B1388" s="94" t="s">
        <v>1125</v>
      </c>
      <c r="C1388" s="95">
        <v>2024</v>
      </c>
      <c r="D1388" s="96" t="s">
        <v>1126</v>
      </c>
      <c r="F1388" s="101">
        <v>20.03</v>
      </c>
      <c r="I1388" s="101">
        <v>18.600000000000001</v>
      </c>
      <c r="J1388" s="99">
        <f>Table336789101112131415[[#This Row],[Sched C/ County/ State]]-Table336789101112131415[[#This Row],[2025 Rate]]</f>
        <v>1.43</v>
      </c>
    </row>
    <row r="1389" spans="1:10" ht="30" x14ac:dyDescent="0.2">
      <c r="A1389" s="93" t="s">
        <v>1132</v>
      </c>
      <c r="B1389" s="94" t="s">
        <v>485</v>
      </c>
      <c r="C1389" s="95">
        <v>2024</v>
      </c>
      <c r="D1389" s="96" t="s">
        <v>486</v>
      </c>
      <c r="E1389" s="96" t="s">
        <v>1133</v>
      </c>
      <c r="F1389" s="101">
        <v>3.61</v>
      </c>
      <c r="I1389" s="101">
        <v>3.38</v>
      </c>
      <c r="J1389" s="99">
        <f>Table336789101112131415[[#This Row],[Sched C/ County/ State]]-Table336789101112131415[[#This Row],[2025 Rate]]</f>
        <v>0.23</v>
      </c>
    </row>
    <row r="1390" spans="1:10" x14ac:dyDescent="0.2">
      <c r="A1390" s="93" t="s">
        <v>1134</v>
      </c>
      <c r="B1390" s="94" t="s">
        <v>646</v>
      </c>
      <c r="C1390" s="95">
        <v>2022</v>
      </c>
      <c r="D1390" s="96" t="s">
        <v>152</v>
      </c>
      <c r="E1390" s="96" t="s">
        <v>1135</v>
      </c>
      <c r="F1390" s="101">
        <v>5.58</v>
      </c>
      <c r="I1390" s="101">
        <v>5.22</v>
      </c>
      <c r="J1390" s="99">
        <f>Table336789101112131415[[#This Row],[Sched C/ County/ State]]-Table336789101112131415[[#This Row],[2025 Rate]]</f>
        <v>0.36</v>
      </c>
    </row>
    <row r="1391" spans="1:10" x14ac:dyDescent="0.2">
      <c r="A1391" s="93" t="s">
        <v>1136</v>
      </c>
      <c r="B1391" s="94" t="s">
        <v>646</v>
      </c>
      <c r="C1391" s="95">
        <v>2023</v>
      </c>
      <c r="D1391" s="96" t="s">
        <v>152</v>
      </c>
      <c r="E1391" s="96" t="s">
        <v>1135</v>
      </c>
      <c r="F1391" s="101">
        <v>5.58</v>
      </c>
      <c r="I1391" s="101">
        <v>5.22</v>
      </c>
      <c r="J1391" s="99">
        <f>Table336789101112131415[[#This Row],[Sched C/ County/ State]]-Table336789101112131415[[#This Row],[2025 Rate]]</f>
        <v>0.36</v>
      </c>
    </row>
    <row r="1392" spans="1:10" x14ac:dyDescent="0.2">
      <c r="A1392" s="93" t="s">
        <v>1137</v>
      </c>
      <c r="B1392" s="94" t="s">
        <v>646</v>
      </c>
      <c r="C1392" s="95">
        <v>2023</v>
      </c>
      <c r="D1392" s="96" t="s">
        <v>152</v>
      </c>
      <c r="E1392" s="96" t="s">
        <v>1135</v>
      </c>
      <c r="F1392" s="101">
        <v>5.58</v>
      </c>
      <c r="I1392" s="101">
        <v>5.22</v>
      </c>
      <c r="J1392" s="99">
        <f>Table336789101112131415[[#This Row],[Sched C/ County/ State]]-Table336789101112131415[[#This Row],[2025 Rate]]</f>
        <v>0.36</v>
      </c>
    </row>
    <row r="1393" spans="1:10" x14ac:dyDescent="0.2">
      <c r="A1393" s="93" t="s">
        <v>1138</v>
      </c>
      <c r="B1393" s="94" t="s">
        <v>646</v>
      </c>
      <c r="C1393" s="95">
        <v>2024</v>
      </c>
      <c r="D1393" s="96" t="s">
        <v>152</v>
      </c>
      <c r="E1393" s="96" t="s">
        <v>1135</v>
      </c>
      <c r="F1393" s="101">
        <v>5.58</v>
      </c>
      <c r="I1393" s="101">
        <v>5.22</v>
      </c>
      <c r="J1393" s="99">
        <f>Table336789101112131415[[#This Row],[Sched C/ County/ State]]-Table336789101112131415[[#This Row],[2025 Rate]]</f>
        <v>0.36</v>
      </c>
    </row>
    <row r="1394" spans="1:10" x14ac:dyDescent="0.2">
      <c r="A1394" s="93" t="s">
        <v>1139</v>
      </c>
      <c r="B1394" s="94" t="s">
        <v>646</v>
      </c>
      <c r="C1394" s="95">
        <v>2024</v>
      </c>
      <c r="D1394" s="96" t="s">
        <v>152</v>
      </c>
      <c r="E1394" s="96" t="s">
        <v>1140</v>
      </c>
      <c r="F1394" s="101">
        <v>5.58</v>
      </c>
      <c r="I1394" s="101">
        <v>5.22</v>
      </c>
      <c r="J1394" s="99">
        <f>Table336789101112131415[[#This Row],[Sched C/ County/ State]]-Table336789101112131415[[#This Row],[2025 Rate]]</f>
        <v>0.36</v>
      </c>
    </row>
    <row r="1395" spans="1:10" x14ac:dyDescent="0.2">
      <c r="A1395" s="93" t="s">
        <v>1141</v>
      </c>
      <c r="B1395" s="94" t="s">
        <v>1142</v>
      </c>
      <c r="C1395" s="95">
        <v>2022</v>
      </c>
      <c r="D1395" s="96" t="s">
        <v>152</v>
      </c>
      <c r="E1395" s="96" t="s">
        <v>1143</v>
      </c>
      <c r="F1395" s="101">
        <v>4.1399999999999997</v>
      </c>
      <c r="I1395" s="101">
        <v>3.87</v>
      </c>
      <c r="J1395" s="99">
        <f>Table336789101112131415[[#This Row],[Sched C/ County/ State]]-Table336789101112131415[[#This Row],[2025 Rate]]</f>
        <v>0.27</v>
      </c>
    </row>
    <row r="1396" spans="1:10" x14ac:dyDescent="0.2">
      <c r="A1396" s="93" t="s">
        <v>1144</v>
      </c>
      <c r="B1396" s="94" t="s">
        <v>646</v>
      </c>
      <c r="C1396" s="95">
        <v>2024</v>
      </c>
      <c r="D1396" s="96" t="s">
        <v>152</v>
      </c>
      <c r="E1396" s="96" t="s">
        <v>1140</v>
      </c>
      <c r="F1396" s="101">
        <v>5.58</v>
      </c>
      <c r="I1396" s="101">
        <v>5.22</v>
      </c>
      <c r="J1396" s="99">
        <f>Table336789101112131415[[#This Row],[Sched C/ County/ State]]-Table336789101112131415[[#This Row],[2025 Rate]]</f>
        <v>0.36</v>
      </c>
    </row>
    <row r="1397" spans="1:10" x14ac:dyDescent="0.2">
      <c r="A1397" s="93" t="s">
        <v>1145</v>
      </c>
      <c r="B1397" s="94" t="s">
        <v>646</v>
      </c>
      <c r="C1397" s="95">
        <v>2024</v>
      </c>
      <c r="D1397" s="96" t="s">
        <v>152</v>
      </c>
      <c r="E1397" s="96" t="s">
        <v>1146</v>
      </c>
      <c r="F1397" s="101">
        <v>5.58</v>
      </c>
      <c r="I1397" s="101">
        <v>5.22</v>
      </c>
      <c r="J1397" s="99">
        <f>Table336789101112131415[[#This Row],[Sched C/ County/ State]]-Table336789101112131415[[#This Row],[2025 Rate]]</f>
        <v>0.36</v>
      </c>
    </row>
    <row r="1398" spans="1:10" x14ac:dyDescent="0.2">
      <c r="A1398" s="93" t="s">
        <v>1147</v>
      </c>
      <c r="B1398" s="94" t="s">
        <v>1142</v>
      </c>
      <c r="C1398" s="95">
        <v>2022</v>
      </c>
      <c r="D1398" s="96" t="s">
        <v>152</v>
      </c>
      <c r="E1398" s="96" t="s">
        <v>1143</v>
      </c>
      <c r="F1398" s="101">
        <v>4.1399999999999997</v>
      </c>
      <c r="I1398" s="101">
        <v>3.87</v>
      </c>
      <c r="J1398" s="99">
        <f>Table336789101112131415[[#This Row],[Sched C/ County/ State]]-Table336789101112131415[[#This Row],[2025 Rate]]</f>
        <v>0.27</v>
      </c>
    </row>
    <row r="1399" spans="1:10" x14ac:dyDescent="0.2">
      <c r="A1399" s="93" t="s">
        <v>1148</v>
      </c>
      <c r="B1399" s="94" t="s">
        <v>646</v>
      </c>
      <c r="C1399" s="95">
        <v>2024</v>
      </c>
      <c r="D1399" s="96" t="s">
        <v>152</v>
      </c>
      <c r="E1399" s="96" t="s">
        <v>1146</v>
      </c>
      <c r="F1399" s="101">
        <v>5.58</v>
      </c>
      <c r="I1399" s="101">
        <v>5.22</v>
      </c>
      <c r="J1399" s="99">
        <f>Table336789101112131415[[#This Row],[Sched C/ County/ State]]-Table336789101112131415[[#This Row],[2025 Rate]]</f>
        <v>0.36</v>
      </c>
    </row>
    <row r="1400" spans="1:10" ht="30" x14ac:dyDescent="0.2">
      <c r="A1400" s="93" t="s">
        <v>1149</v>
      </c>
      <c r="B1400" s="94" t="s">
        <v>1150</v>
      </c>
      <c r="C1400" s="95">
        <v>2021</v>
      </c>
      <c r="D1400" s="96" t="s">
        <v>533</v>
      </c>
      <c r="E1400" s="96" t="s">
        <v>1151</v>
      </c>
      <c r="F1400" s="101">
        <v>36.47</v>
      </c>
      <c r="I1400" s="101">
        <v>34.130000000000003</v>
      </c>
      <c r="J1400" s="99">
        <f>Table336789101112131415[[#This Row],[Sched C/ County/ State]]-Table336789101112131415[[#This Row],[2025 Rate]]</f>
        <v>2.34</v>
      </c>
    </row>
    <row r="1401" spans="1:10" ht="30" x14ac:dyDescent="0.2">
      <c r="A1401" s="93" t="s">
        <v>1152</v>
      </c>
      <c r="B1401" s="94" t="s">
        <v>1153</v>
      </c>
      <c r="C1401" s="95">
        <v>2021</v>
      </c>
      <c r="D1401" s="96" t="s">
        <v>533</v>
      </c>
      <c r="E1401" s="96" t="s">
        <v>1151</v>
      </c>
      <c r="F1401" s="101">
        <v>36.47</v>
      </c>
      <c r="I1401" s="101">
        <v>34.130000000000003</v>
      </c>
      <c r="J1401" s="99">
        <f>Table336789101112131415[[#This Row],[Sched C/ County/ State]]-Table336789101112131415[[#This Row],[2025 Rate]]</f>
        <v>2.34</v>
      </c>
    </row>
    <row r="1402" spans="1:10" ht="30" x14ac:dyDescent="0.2">
      <c r="A1402" s="93" t="s">
        <v>1154</v>
      </c>
      <c r="B1402" s="94" t="s">
        <v>1155</v>
      </c>
      <c r="C1402" s="95">
        <v>2023</v>
      </c>
      <c r="D1402" s="96" t="s">
        <v>1156</v>
      </c>
      <c r="E1402" s="96" t="s">
        <v>1157</v>
      </c>
      <c r="F1402" s="101">
        <v>41.97</v>
      </c>
      <c r="H1402" s="121">
        <v>32.35</v>
      </c>
      <c r="I1402" s="101">
        <v>39.28</v>
      </c>
      <c r="J1402" s="99">
        <f>Table336789101112131415[[#This Row],[Sched C/ County/ State]]-Table336789101112131415[[#This Row],[2025 Rate]]</f>
        <v>2.69</v>
      </c>
    </row>
    <row r="1403" spans="1:10" x14ac:dyDescent="0.2">
      <c r="A1403" s="93" t="s">
        <v>1158</v>
      </c>
      <c r="B1403" s="94" t="s">
        <v>200</v>
      </c>
      <c r="C1403" s="95">
        <v>2020</v>
      </c>
      <c r="D1403" s="96" t="s">
        <v>148</v>
      </c>
      <c r="E1403" s="96" t="s">
        <v>201</v>
      </c>
      <c r="F1403" s="101">
        <v>20.43</v>
      </c>
      <c r="I1403" s="101">
        <v>19.12</v>
      </c>
      <c r="J1403" s="99">
        <f>Table336789101112131415[[#This Row],[Sched C/ County/ State]]-Table336789101112131415[[#This Row],[2025 Rate]]</f>
        <v>1.31</v>
      </c>
    </row>
    <row r="1404" spans="1:10" x14ac:dyDescent="0.2">
      <c r="A1404" s="93" t="s">
        <v>1159</v>
      </c>
      <c r="B1404" s="94" t="s">
        <v>200</v>
      </c>
      <c r="C1404" s="95">
        <v>2020</v>
      </c>
      <c r="D1404" s="96" t="s">
        <v>148</v>
      </c>
      <c r="E1404" s="96" t="s">
        <v>201</v>
      </c>
      <c r="F1404" s="101">
        <v>20.43</v>
      </c>
      <c r="I1404" s="101">
        <v>19.12</v>
      </c>
      <c r="J1404" s="99">
        <f>Table336789101112131415[[#This Row],[Sched C/ County/ State]]-Table336789101112131415[[#This Row],[2025 Rate]]</f>
        <v>1.31</v>
      </c>
    </row>
    <row r="1405" spans="1:10" x14ac:dyDescent="0.2">
      <c r="A1405" s="93" t="s">
        <v>1160</v>
      </c>
      <c r="B1405" s="94" t="s">
        <v>200</v>
      </c>
      <c r="C1405" s="95">
        <v>2020</v>
      </c>
      <c r="D1405" s="96" t="s">
        <v>148</v>
      </c>
      <c r="E1405" s="96" t="s">
        <v>201</v>
      </c>
      <c r="F1405" s="101">
        <v>20.43</v>
      </c>
      <c r="I1405" s="101">
        <v>19.12</v>
      </c>
      <c r="J1405" s="99">
        <f>Table336789101112131415[[#This Row],[Sched C/ County/ State]]-Table336789101112131415[[#This Row],[2025 Rate]]</f>
        <v>1.31</v>
      </c>
    </row>
    <row r="1406" spans="1:10" x14ac:dyDescent="0.2">
      <c r="A1406" s="93" t="s">
        <v>1161</v>
      </c>
      <c r="B1406" s="94" t="s">
        <v>200</v>
      </c>
      <c r="C1406" s="95">
        <v>2020</v>
      </c>
      <c r="D1406" s="96" t="s">
        <v>148</v>
      </c>
      <c r="E1406" s="96" t="s">
        <v>201</v>
      </c>
      <c r="F1406" s="101">
        <v>20.43</v>
      </c>
      <c r="I1406" s="101">
        <v>19.12</v>
      </c>
      <c r="J1406" s="99">
        <f>Table336789101112131415[[#This Row],[Sched C/ County/ State]]-Table336789101112131415[[#This Row],[2025 Rate]]</f>
        <v>1.31</v>
      </c>
    </row>
    <row r="1407" spans="1:10" x14ac:dyDescent="0.2">
      <c r="A1407" s="93" t="s">
        <v>1162</v>
      </c>
      <c r="B1407" s="94" t="s">
        <v>147</v>
      </c>
      <c r="C1407" s="95">
        <v>2020</v>
      </c>
      <c r="D1407" s="96" t="s">
        <v>148</v>
      </c>
      <c r="E1407" s="96" t="s">
        <v>544</v>
      </c>
      <c r="F1407" s="101">
        <v>6.98</v>
      </c>
      <c r="I1407" s="101">
        <v>6.53</v>
      </c>
      <c r="J1407" s="99">
        <f>Table336789101112131415[[#This Row],[Sched C/ County/ State]]-Table336789101112131415[[#This Row],[2025 Rate]]</f>
        <v>0.45</v>
      </c>
    </row>
    <row r="1408" spans="1:10" x14ac:dyDescent="0.2">
      <c r="A1408" s="93" t="s">
        <v>1163</v>
      </c>
      <c r="B1408" s="94" t="s">
        <v>150</v>
      </c>
      <c r="C1408" s="95">
        <v>2021</v>
      </c>
      <c r="D1408" s="96" t="s">
        <v>148</v>
      </c>
      <c r="E1408" s="96" t="s">
        <v>645</v>
      </c>
      <c r="F1408" s="101">
        <v>6.98</v>
      </c>
      <c r="I1408" s="101">
        <v>6.53</v>
      </c>
      <c r="J1408" s="99">
        <f>Table336789101112131415[[#This Row],[Sched C/ County/ State]]-Table336789101112131415[[#This Row],[2025 Rate]]</f>
        <v>0.45</v>
      </c>
    </row>
    <row r="1409" spans="1:10" x14ac:dyDescent="0.2">
      <c r="A1409" s="93" t="s">
        <v>1164</v>
      </c>
      <c r="B1409" s="94" t="s">
        <v>147</v>
      </c>
      <c r="C1409" s="95">
        <v>2022</v>
      </c>
      <c r="D1409" s="96" t="s">
        <v>152</v>
      </c>
      <c r="E1409" s="96" t="s">
        <v>1165</v>
      </c>
      <c r="F1409" s="101">
        <v>6.98</v>
      </c>
      <c r="I1409" s="101">
        <v>6.53</v>
      </c>
      <c r="J1409" s="99">
        <f>Table336789101112131415[[#This Row],[Sched C/ County/ State]]-Table336789101112131415[[#This Row],[2025 Rate]]</f>
        <v>0.45</v>
      </c>
    </row>
    <row r="1410" spans="1:10" x14ac:dyDescent="0.2">
      <c r="A1410" s="93" t="s">
        <v>1166</v>
      </c>
      <c r="B1410" s="94" t="s">
        <v>147</v>
      </c>
      <c r="C1410" s="95">
        <v>2022</v>
      </c>
      <c r="D1410" s="96" t="s">
        <v>152</v>
      </c>
      <c r="E1410" s="96" t="s">
        <v>1165</v>
      </c>
      <c r="F1410" s="101">
        <v>6.98</v>
      </c>
      <c r="I1410" s="101">
        <v>6.53</v>
      </c>
      <c r="J1410" s="99">
        <f>Table336789101112131415[[#This Row],[Sched C/ County/ State]]-Table336789101112131415[[#This Row],[2025 Rate]]</f>
        <v>0.45</v>
      </c>
    </row>
    <row r="1411" spans="1:10" x14ac:dyDescent="0.2">
      <c r="A1411" s="93" t="s">
        <v>1167</v>
      </c>
      <c r="B1411" s="94" t="s">
        <v>1142</v>
      </c>
      <c r="C1411" s="95">
        <v>2022</v>
      </c>
      <c r="D1411" s="96" t="s">
        <v>152</v>
      </c>
      <c r="E1411" s="96" t="s">
        <v>1143</v>
      </c>
      <c r="F1411" s="101">
        <v>4.1399999999999997</v>
      </c>
      <c r="I1411" s="101">
        <v>3.87</v>
      </c>
      <c r="J1411" s="99">
        <f>Table336789101112131415[[#This Row],[Sched C/ County/ State]]-Table336789101112131415[[#This Row],[2025 Rate]]</f>
        <v>0.27</v>
      </c>
    </row>
    <row r="1412" spans="1:10" x14ac:dyDescent="0.2">
      <c r="A1412" s="93" t="s">
        <v>1168</v>
      </c>
      <c r="B1412" s="94" t="s">
        <v>147</v>
      </c>
      <c r="C1412" s="95">
        <v>2022</v>
      </c>
      <c r="D1412" s="96" t="s">
        <v>152</v>
      </c>
      <c r="E1412" s="96" t="s">
        <v>1165</v>
      </c>
      <c r="F1412" s="101">
        <v>6.98</v>
      </c>
      <c r="I1412" s="101">
        <v>6.53</v>
      </c>
      <c r="J1412" s="99">
        <f>Table336789101112131415[[#This Row],[Sched C/ County/ State]]-Table336789101112131415[[#This Row],[2025 Rate]]</f>
        <v>0.45</v>
      </c>
    </row>
    <row r="1413" spans="1:10" x14ac:dyDescent="0.2">
      <c r="A1413" s="93" t="s">
        <v>1169</v>
      </c>
      <c r="B1413" s="94" t="s">
        <v>1142</v>
      </c>
      <c r="C1413" s="95">
        <v>2024</v>
      </c>
      <c r="D1413" s="96" t="s">
        <v>152</v>
      </c>
      <c r="E1413" s="96" t="s">
        <v>1143</v>
      </c>
      <c r="F1413" s="101">
        <v>4.1399999999999997</v>
      </c>
      <c r="I1413" s="101">
        <v>3.87</v>
      </c>
      <c r="J1413" s="99">
        <f>Table336789101112131415[[#This Row],[Sched C/ County/ State]]-Table336789101112131415[[#This Row],[2025 Rate]]</f>
        <v>0.27</v>
      </c>
    </row>
    <row r="1414" spans="1:10" x14ac:dyDescent="0.2">
      <c r="A1414" s="93" t="s">
        <v>1170</v>
      </c>
      <c r="B1414" s="94" t="s">
        <v>147</v>
      </c>
      <c r="C1414" s="95">
        <v>2022</v>
      </c>
      <c r="D1414" s="96" t="s">
        <v>152</v>
      </c>
      <c r="E1414" s="96" t="s">
        <v>1165</v>
      </c>
      <c r="F1414" s="101">
        <v>6.98</v>
      </c>
      <c r="I1414" s="101">
        <v>6.53</v>
      </c>
      <c r="J1414" s="99">
        <f>Table336789101112131415[[#This Row],[Sched C/ County/ State]]-Table336789101112131415[[#This Row],[2025 Rate]]</f>
        <v>0.45</v>
      </c>
    </row>
    <row r="1415" spans="1:10" x14ac:dyDescent="0.2">
      <c r="A1415" s="93" t="s">
        <v>1171</v>
      </c>
      <c r="B1415" s="94" t="s">
        <v>1142</v>
      </c>
      <c r="C1415" s="95">
        <v>2024</v>
      </c>
      <c r="D1415" s="96" t="s">
        <v>152</v>
      </c>
      <c r="E1415" s="96" t="s">
        <v>1143</v>
      </c>
      <c r="F1415" s="101">
        <v>4.1399999999999997</v>
      </c>
      <c r="I1415" s="101">
        <v>3.87</v>
      </c>
      <c r="J1415" s="99">
        <f>Table336789101112131415[[#This Row],[Sched C/ County/ State]]-Table336789101112131415[[#This Row],[2025 Rate]]</f>
        <v>0.27</v>
      </c>
    </row>
    <row r="1416" spans="1:10" x14ac:dyDescent="0.2">
      <c r="A1416" s="93" t="s">
        <v>1172</v>
      </c>
      <c r="B1416" s="94" t="s">
        <v>162</v>
      </c>
      <c r="C1416" s="95">
        <v>2022</v>
      </c>
      <c r="D1416" s="96" t="s">
        <v>152</v>
      </c>
      <c r="E1416" s="96" t="s">
        <v>202</v>
      </c>
      <c r="F1416" s="101">
        <v>5.9</v>
      </c>
      <c r="I1416" s="101">
        <v>5.52</v>
      </c>
      <c r="J1416" s="99">
        <f>Table336789101112131415[[#This Row],[Sched C/ County/ State]]-Table336789101112131415[[#This Row],[2025 Rate]]</f>
        <v>0.38</v>
      </c>
    </row>
    <row r="1417" spans="1:10" x14ac:dyDescent="0.2">
      <c r="A1417" s="93" t="s">
        <v>1173</v>
      </c>
      <c r="B1417" s="94" t="s">
        <v>1142</v>
      </c>
      <c r="C1417" s="95">
        <v>2024</v>
      </c>
      <c r="D1417" s="96" t="s">
        <v>152</v>
      </c>
      <c r="E1417" s="96" t="s">
        <v>1143</v>
      </c>
      <c r="F1417" s="101">
        <v>4.1399999999999997</v>
      </c>
      <c r="I1417" s="101">
        <v>3.87</v>
      </c>
      <c r="J1417" s="99">
        <f>Table336789101112131415[[#This Row],[Sched C/ County/ State]]-Table336789101112131415[[#This Row],[2025 Rate]]</f>
        <v>0.27</v>
      </c>
    </row>
    <row r="1418" spans="1:10" x14ac:dyDescent="0.2">
      <c r="A1418" s="93" t="s">
        <v>1174</v>
      </c>
      <c r="B1418" s="94" t="s">
        <v>147</v>
      </c>
      <c r="C1418" s="95">
        <v>2022</v>
      </c>
      <c r="D1418" s="96" t="s">
        <v>152</v>
      </c>
      <c r="E1418" s="96" t="s">
        <v>1165</v>
      </c>
      <c r="F1418" s="101">
        <v>6.98</v>
      </c>
      <c r="I1418" s="101">
        <v>6.53</v>
      </c>
      <c r="J1418" s="99">
        <f>Table336789101112131415[[#This Row],[Sched C/ County/ State]]-Table336789101112131415[[#This Row],[2025 Rate]]</f>
        <v>0.45</v>
      </c>
    </row>
    <row r="1419" spans="1:10" x14ac:dyDescent="0.2">
      <c r="A1419" s="93" t="s">
        <v>1175</v>
      </c>
      <c r="B1419" s="94" t="s">
        <v>162</v>
      </c>
      <c r="C1419" s="95">
        <v>2023</v>
      </c>
      <c r="D1419" s="96" t="s">
        <v>152</v>
      </c>
      <c r="E1419" s="96" t="s">
        <v>202</v>
      </c>
      <c r="F1419" s="101">
        <v>5.9</v>
      </c>
      <c r="I1419" s="101">
        <v>5.52</v>
      </c>
      <c r="J1419" s="99">
        <f>Table336789101112131415[[#This Row],[Sched C/ County/ State]]-Table336789101112131415[[#This Row],[2025 Rate]]</f>
        <v>0.38</v>
      </c>
    </row>
    <row r="1420" spans="1:10" x14ac:dyDescent="0.2">
      <c r="A1420" s="93" t="s">
        <v>1176</v>
      </c>
      <c r="B1420" s="94" t="s">
        <v>167</v>
      </c>
      <c r="C1420" s="95">
        <v>2023</v>
      </c>
      <c r="D1420" s="96" t="s">
        <v>152</v>
      </c>
      <c r="E1420" s="96" t="s">
        <v>1177</v>
      </c>
      <c r="F1420" s="101">
        <v>6.98</v>
      </c>
      <c r="I1420" s="101">
        <v>6.53</v>
      </c>
      <c r="J1420" s="99">
        <f>Table336789101112131415[[#This Row],[Sched C/ County/ State]]-Table336789101112131415[[#This Row],[2025 Rate]]</f>
        <v>0.45</v>
      </c>
    </row>
    <row r="1421" spans="1:10" x14ac:dyDescent="0.2">
      <c r="A1421" s="93" t="s">
        <v>1178</v>
      </c>
      <c r="B1421" s="94" t="s">
        <v>162</v>
      </c>
      <c r="C1421" s="95">
        <v>2024</v>
      </c>
      <c r="D1421" s="96" t="s">
        <v>152</v>
      </c>
      <c r="E1421" s="96" t="s">
        <v>1179</v>
      </c>
      <c r="F1421" s="101">
        <v>5.9</v>
      </c>
      <c r="I1421" s="101">
        <v>5.52</v>
      </c>
      <c r="J1421" s="99">
        <f>Table336789101112131415[[#This Row],[Sched C/ County/ State]]-Table336789101112131415[[#This Row],[2025 Rate]]</f>
        <v>0.38</v>
      </c>
    </row>
    <row r="1422" spans="1:10" x14ac:dyDescent="0.2">
      <c r="A1422" s="93" t="s">
        <v>1180</v>
      </c>
      <c r="B1422" s="94" t="s">
        <v>1181</v>
      </c>
      <c r="C1422" s="95">
        <v>2023</v>
      </c>
      <c r="D1422" s="96" t="s">
        <v>185</v>
      </c>
      <c r="E1422" s="96" t="s">
        <v>186</v>
      </c>
      <c r="F1422" s="101">
        <v>0.38</v>
      </c>
      <c r="I1422" s="101">
        <v>0.36</v>
      </c>
      <c r="J1422" s="99">
        <f>Table336789101112131415[[#This Row],[Sched C/ County/ State]]-Table336789101112131415[[#This Row],[2025 Rate]]</f>
        <v>0.02</v>
      </c>
    </row>
    <row r="1423" spans="1:10" x14ac:dyDescent="0.2">
      <c r="A1423" s="93" t="s">
        <v>1182</v>
      </c>
      <c r="B1423" s="94" t="s">
        <v>1181</v>
      </c>
      <c r="C1423" s="95">
        <v>2023</v>
      </c>
      <c r="D1423" s="96" t="s">
        <v>185</v>
      </c>
      <c r="E1423" s="96" t="s">
        <v>186</v>
      </c>
      <c r="F1423" s="101">
        <v>0.38</v>
      </c>
      <c r="I1423" s="101">
        <v>0.36</v>
      </c>
      <c r="J1423" s="99">
        <f>Table336789101112131415[[#This Row],[Sched C/ County/ State]]-Table336789101112131415[[#This Row],[2025 Rate]]</f>
        <v>0.02</v>
      </c>
    </row>
    <row r="1424" spans="1:10" x14ac:dyDescent="0.2">
      <c r="A1424" s="93" t="s">
        <v>1183</v>
      </c>
      <c r="B1424" s="94" t="s">
        <v>1181</v>
      </c>
      <c r="C1424" s="95">
        <v>2023</v>
      </c>
      <c r="D1424" s="96" t="s">
        <v>185</v>
      </c>
      <c r="E1424" s="96" t="s">
        <v>186</v>
      </c>
      <c r="F1424" s="101">
        <v>0.38</v>
      </c>
      <c r="I1424" s="101">
        <v>0.36</v>
      </c>
      <c r="J1424" s="99">
        <f>Table336789101112131415[[#This Row],[Sched C/ County/ State]]-Table336789101112131415[[#This Row],[2025 Rate]]</f>
        <v>0.02</v>
      </c>
    </row>
    <row r="1425" spans="1:10" x14ac:dyDescent="0.2">
      <c r="A1425" s="93" t="s">
        <v>1184</v>
      </c>
      <c r="B1425" s="94" t="s">
        <v>1181</v>
      </c>
      <c r="C1425" s="95">
        <v>2023</v>
      </c>
      <c r="D1425" s="96" t="s">
        <v>185</v>
      </c>
      <c r="E1425" s="96" t="s">
        <v>186</v>
      </c>
      <c r="F1425" s="101">
        <v>0.38</v>
      </c>
      <c r="I1425" s="101">
        <v>0.36</v>
      </c>
      <c r="J1425" s="99">
        <f>Table336789101112131415[[#This Row],[Sched C/ County/ State]]-Table336789101112131415[[#This Row],[2025 Rate]]</f>
        <v>0.02</v>
      </c>
    </row>
    <row r="1426" spans="1:10" x14ac:dyDescent="0.2">
      <c r="A1426" s="93" t="s">
        <v>1185</v>
      </c>
      <c r="B1426" s="94" t="s">
        <v>1181</v>
      </c>
      <c r="C1426" s="95">
        <v>2023</v>
      </c>
      <c r="D1426" s="96" t="s">
        <v>185</v>
      </c>
      <c r="E1426" s="96" t="s">
        <v>186</v>
      </c>
      <c r="F1426" s="101">
        <v>0.38</v>
      </c>
      <c r="I1426" s="101">
        <v>0.36</v>
      </c>
      <c r="J1426" s="99">
        <f>Table336789101112131415[[#This Row],[Sched C/ County/ State]]-Table336789101112131415[[#This Row],[2025 Rate]]</f>
        <v>0.02</v>
      </c>
    </row>
    <row r="1427" spans="1:10" x14ac:dyDescent="0.2">
      <c r="A1427" s="93" t="s">
        <v>1186</v>
      </c>
      <c r="B1427" s="94" t="s">
        <v>1181</v>
      </c>
      <c r="C1427" s="95">
        <v>2023</v>
      </c>
      <c r="D1427" s="96" t="s">
        <v>185</v>
      </c>
      <c r="E1427" s="96" t="s">
        <v>186</v>
      </c>
      <c r="F1427" s="101">
        <v>0.38</v>
      </c>
      <c r="I1427" s="101">
        <v>0.36</v>
      </c>
      <c r="J1427" s="99">
        <f>Table336789101112131415[[#This Row],[Sched C/ County/ State]]-Table336789101112131415[[#This Row],[2025 Rate]]</f>
        <v>0.02</v>
      </c>
    </row>
    <row r="1428" spans="1:10" x14ac:dyDescent="0.2">
      <c r="A1428" s="93" t="s">
        <v>1187</v>
      </c>
      <c r="B1428" s="94" t="s">
        <v>1181</v>
      </c>
      <c r="C1428" s="95">
        <v>2023</v>
      </c>
      <c r="D1428" s="96" t="s">
        <v>185</v>
      </c>
      <c r="E1428" s="96" t="s">
        <v>186</v>
      </c>
      <c r="F1428" s="101">
        <v>0.38</v>
      </c>
      <c r="I1428" s="101">
        <v>0.36</v>
      </c>
      <c r="J1428" s="99">
        <f>Table336789101112131415[[#This Row],[Sched C/ County/ State]]-Table336789101112131415[[#This Row],[2025 Rate]]</f>
        <v>0.02</v>
      </c>
    </row>
    <row r="1429" spans="1:10" x14ac:dyDescent="0.2">
      <c r="A1429" s="93" t="s">
        <v>1188</v>
      </c>
      <c r="B1429" s="94" t="s">
        <v>1181</v>
      </c>
      <c r="C1429" s="95">
        <v>2023</v>
      </c>
      <c r="D1429" s="96" t="s">
        <v>185</v>
      </c>
      <c r="E1429" s="96" t="s">
        <v>186</v>
      </c>
      <c r="F1429" s="101">
        <v>0.38</v>
      </c>
      <c r="I1429" s="101">
        <v>0.36</v>
      </c>
      <c r="J1429" s="99">
        <f>Table336789101112131415[[#This Row],[Sched C/ County/ State]]-Table336789101112131415[[#This Row],[2025 Rate]]</f>
        <v>0.02</v>
      </c>
    </row>
    <row r="1430" spans="1:10" x14ac:dyDescent="0.2">
      <c r="A1430" s="93" t="s">
        <v>1189</v>
      </c>
      <c r="B1430" s="94" t="s">
        <v>1181</v>
      </c>
      <c r="C1430" s="95">
        <v>2023</v>
      </c>
      <c r="D1430" s="96" t="s">
        <v>185</v>
      </c>
      <c r="E1430" s="96" t="s">
        <v>186</v>
      </c>
      <c r="F1430" s="101">
        <v>0.38</v>
      </c>
      <c r="I1430" s="101">
        <v>0.36</v>
      </c>
      <c r="J1430" s="99">
        <f>Table336789101112131415[[#This Row],[Sched C/ County/ State]]-Table336789101112131415[[#This Row],[2025 Rate]]</f>
        <v>0.02</v>
      </c>
    </row>
    <row r="1431" spans="1:10" x14ac:dyDescent="0.2">
      <c r="A1431" s="93" t="s">
        <v>1190</v>
      </c>
      <c r="B1431" s="94" t="s">
        <v>1181</v>
      </c>
      <c r="C1431" s="95">
        <v>2023</v>
      </c>
      <c r="D1431" s="96" t="s">
        <v>185</v>
      </c>
      <c r="E1431" s="96" t="s">
        <v>186</v>
      </c>
      <c r="F1431" s="101">
        <v>0.38</v>
      </c>
      <c r="I1431" s="101">
        <v>0.36</v>
      </c>
      <c r="J1431" s="99">
        <f>Table336789101112131415[[#This Row],[Sched C/ County/ State]]-Table336789101112131415[[#This Row],[2025 Rate]]</f>
        <v>0.02</v>
      </c>
    </row>
    <row r="1432" spans="1:10" x14ac:dyDescent="0.2">
      <c r="A1432" s="93" t="s">
        <v>1191</v>
      </c>
      <c r="B1432" s="94" t="s">
        <v>1181</v>
      </c>
      <c r="C1432" s="95">
        <v>2023</v>
      </c>
      <c r="D1432" s="96" t="s">
        <v>185</v>
      </c>
      <c r="E1432" s="96" t="s">
        <v>186</v>
      </c>
      <c r="F1432" s="101">
        <v>0.38</v>
      </c>
      <c r="I1432" s="101">
        <v>0.36</v>
      </c>
      <c r="J1432" s="99">
        <f>Table336789101112131415[[#This Row],[Sched C/ County/ State]]-Table336789101112131415[[#This Row],[2025 Rate]]</f>
        <v>0.02</v>
      </c>
    </row>
    <row r="1433" spans="1:10" x14ac:dyDescent="0.2">
      <c r="A1433" s="93" t="s">
        <v>1192</v>
      </c>
      <c r="B1433" s="94" t="s">
        <v>1181</v>
      </c>
      <c r="C1433" s="95">
        <v>2023</v>
      </c>
      <c r="D1433" s="96" t="s">
        <v>185</v>
      </c>
      <c r="E1433" s="96" t="s">
        <v>186</v>
      </c>
      <c r="F1433" s="101">
        <v>0.38</v>
      </c>
      <c r="I1433" s="101">
        <v>0.36</v>
      </c>
      <c r="J1433" s="99">
        <f>Table336789101112131415[[#This Row],[Sched C/ County/ State]]-Table336789101112131415[[#This Row],[2025 Rate]]</f>
        <v>0.02</v>
      </c>
    </row>
    <row r="1434" spans="1:10" x14ac:dyDescent="0.2">
      <c r="A1434" s="93" t="s">
        <v>1193</v>
      </c>
      <c r="B1434" s="94" t="s">
        <v>1181</v>
      </c>
      <c r="C1434" s="95">
        <v>2023</v>
      </c>
      <c r="D1434" s="96" t="s">
        <v>185</v>
      </c>
      <c r="E1434" s="96" t="s">
        <v>186</v>
      </c>
      <c r="F1434" s="101">
        <v>0.38</v>
      </c>
      <c r="I1434" s="101">
        <v>0.36</v>
      </c>
      <c r="J1434" s="99">
        <f>Table336789101112131415[[#This Row],[Sched C/ County/ State]]-Table336789101112131415[[#This Row],[2025 Rate]]</f>
        <v>0.02</v>
      </c>
    </row>
    <row r="1435" spans="1:10" x14ac:dyDescent="0.2">
      <c r="A1435" s="93" t="s">
        <v>1194</v>
      </c>
      <c r="B1435" s="94" t="s">
        <v>1195</v>
      </c>
      <c r="C1435" s="95">
        <v>2021</v>
      </c>
      <c r="D1435" s="96" t="s">
        <v>481</v>
      </c>
      <c r="E1435" s="96" t="s">
        <v>1196</v>
      </c>
      <c r="F1435" s="101">
        <v>8.11</v>
      </c>
      <c r="I1435" s="101">
        <v>7.59</v>
      </c>
      <c r="J1435" s="99">
        <f>Table336789101112131415[[#This Row],[Sched C/ County/ State]]-Table336789101112131415[[#This Row],[2025 Rate]]</f>
        <v>0.52</v>
      </c>
    </row>
    <row r="1436" spans="1:10" x14ac:dyDescent="0.2">
      <c r="A1436" s="93" t="s">
        <v>1197</v>
      </c>
      <c r="B1436" s="94" t="s">
        <v>1195</v>
      </c>
      <c r="C1436" s="95">
        <v>2023</v>
      </c>
      <c r="D1436" s="96" t="s">
        <v>481</v>
      </c>
      <c r="E1436" s="96" t="s">
        <v>1198</v>
      </c>
      <c r="F1436" s="101">
        <v>8.11</v>
      </c>
      <c r="I1436" s="101">
        <v>7.59</v>
      </c>
      <c r="J1436" s="99">
        <f>Table336789101112131415[[#This Row],[Sched C/ County/ State]]-Table336789101112131415[[#This Row],[2025 Rate]]</f>
        <v>0.52</v>
      </c>
    </row>
    <row r="1437" spans="1:10" x14ac:dyDescent="0.2">
      <c r="A1437" s="93" t="s">
        <v>1199</v>
      </c>
      <c r="B1437" s="94" t="s">
        <v>1200</v>
      </c>
      <c r="C1437" s="95">
        <v>2023</v>
      </c>
      <c r="D1437" s="96" t="s">
        <v>481</v>
      </c>
      <c r="E1437" s="96" t="s">
        <v>1201</v>
      </c>
      <c r="F1437" s="101">
        <v>28.89</v>
      </c>
      <c r="I1437" s="101">
        <v>27.04</v>
      </c>
      <c r="J1437" s="99">
        <f>Table336789101112131415[[#This Row],[Sched C/ County/ State]]-Table336789101112131415[[#This Row],[2025 Rate]]</f>
        <v>1.85</v>
      </c>
    </row>
    <row r="1438" spans="1:10" x14ac:dyDescent="0.2">
      <c r="A1438" s="93" t="s">
        <v>1202</v>
      </c>
      <c r="B1438" s="94" t="s">
        <v>819</v>
      </c>
      <c r="C1438" s="95">
        <v>2022</v>
      </c>
      <c r="D1438" s="96" t="s">
        <v>810</v>
      </c>
      <c r="F1438" s="101">
        <v>6.86</v>
      </c>
      <c r="I1438" s="101">
        <v>6.42</v>
      </c>
      <c r="J1438" s="99">
        <f>Table336789101112131415[[#This Row],[Sched C/ County/ State]]-Table336789101112131415[[#This Row],[2025 Rate]]</f>
        <v>0.44</v>
      </c>
    </row>
    <row r="1439" spans="1:10" x14ac:dyDescent="0.2">
      <c r="A1439" s="93" t="s">
        <v>1203</v>
      </c>
      <c r="B1439" s="94" t="s">
        <v>1204</v>
      </c>
      <c r="C1439" s="95">
        <v>2024</v>
      </c>
      <c r="D1439" s="96" t="s">
        <v>1205</v>
      </c>
      <c r="E1439" s="96" t="s">
        <v>1206</v>
      </c>
      <c r="F1439" s="101">
        <v>32.700000000000003</v>
      </c>
      <c r="I1439" s="101">
        <v>30.6</v>
      </c>
      <c r="J1439" s="99">
        <f>Table336789101112131415[[#This Row],[Sched C/ County/ State]]-Table336789101112131415[[#This Row],[2025 Rate]]</f>
        <v>2.1</v>
      </c>
    </row>
    <row r="1440" spans="1:10" ht="30" x14ac:dyDescent="0.2">
      <c r="A1440" s="93" t="s">
        <v>1207</v>
      </c>
      <c r="B1440" s="94" t="s">
        <v>912</v>
      </c>
      <c r="C1440" s="95">
        <v>2021</v>
      </c>
      <c r="D1440" s="96" t="s">
        <v>810</v>
      </c>
      <c r="F1440" s="101">
        <v>8.9499999999999993</v>
      </c>
      <c r="I1440" s="101">
        <v>8.3800000000000008</v>
      </c>
      <c r="J1440" s="99">
        <f>Table336789101112131415[[#This Row],[Sched C/ County/ State]]-Table336789101112131415[[#This Row],[2025 Rate]]</f>
        <v>0.56999999999999995</v>
      </c>
    </row>
    <row r="1441" spans="1:10" ht="30" x14ac:dyDescent="0.2">
      <c r="A1441" s="93" t="s">
        <v>1208</v>
      </c>
      <c r="B1441" s="94" t="s">
        <v>888</v>
      </c>
      <c r="C1441" s="95">
        <v>2021</v>
      </c>
      <c r="D1441" s="96" t="s">
        <v>810</v>
      </c>
      <c r="F1441" s="101">
        <v>6.86</v>
      </c>
      <c r="I1441" s="101">
        <v>6.42</v>
      </c>
      <c r="J1441" s="99">
        <f>Table336789101112131415[[#This Row],[Sched C/ County/ State]]-Table336789101112131415[[#This Row],[2025 Rate]]</f>
        <v>0.44</v>
      </c>
    </row>
    <row r="1442" spans="1:10" ht="30" x14ac:dyDescent="0.2">
      <c r="A1442" s="93" t="s">
        <v>817</v>
      </c>
      <c r="B1442" s="94" t="s">
        <v>912</v>
      </c>
      <c r="C1442" s="95">
        <v>2021</v>
      </c>
      <c r="D1442" s="96" t="s">
        <v>810</v>
      </c>
      <c r="F1442" s="101">
        <v>8.9499999999999993</v>
      </c>
      <c r="I1442" s="101">
        <v>8.3800000000000008</v>
      </c>
      <c r="J1442" s="99">
        <f>Table336789101112131415[[#This Row],[Sched C/ County/ State]]-Table336789101112131415[[#This Row],[2025 Rate]]</f>
        <v>0.56999999999999995</v>
      </c>
    </row>
    <row r="1443" spans="1:10" ht="30" x14ac:dyDescent="0.2">
      <c r="A1443" s="93" t="s">
        <v>818</v>
      </c>
      <c r="B1443" s="94" t="s">
        <v>888</v>
      </c>
      <c r="C1443" s="95">
        <v>2021</v>
      </c>
      <c r="D1443" s="96" t="s">
        <v>810</v>
      </c>
      <c r="F1443" s="101">
        <v>6.86</v>
      </c>
      <c r="I1443" s="101">
        <v>6.42</v>
      </c>
      <c r="J1443" s="99">
        <f>Table336789101112131415[[#This Row],[Sched C/ County/ State]]-Table336789101112131415[[#This Row],[2025 Rate]]</f>
        <v>0.44</v>
      </c>
    </row>
    <row r="1444" spans="1:10" x14ac:dyDescent="0.2">
      <c r="A1444" s="93" t="s">
        <v>1209</v>
      </c>
      <c r="B1444" s="94" t="s">
        <v>98</v>
      </c>
      <c r="C1444" s="95">
        <v>2022</v>
      </c>
      <c r="D1444" s="96" t="s">
        <v>205</v>
      </c>
      <c r="F1444" s="101">
        <v>30.07</v>
      </c>
      <c r="I1444" s="101">
        <v>27.28</v>
      </c>
      <c r="J1444" s="99">
        <f>Table336789101112131415[[#This Row],[Sched C/ County/ State]]-Table336789101112131415[[#This Row],[2025 Rate]]</f>
        <v>2.79</v>
      </c>
    </row>
    <row r="1445" spans="1:10" x14ac:dyDescent="0.2">
      <c r="A1445" s="93" t="s">
        <v>1210</v>
      </c>
      <c r="B1445" s="94" t="s">
        <v>98</v>
      </c>
      <c r="C1445" s="95">
        <v>2022</v>
      </c>
      <c r="D1445" s="96" t="s">
        <v>205</v>
      </c>
      <c r="F1445" s="101">
        <v>30.07</v>
      </c>
      <c r="I1445" s="101">
        <v>27.28</v>
      </c>
      <c r="J1445" s="99">
        <f>Table336789101112131415[[#This Row],[Sched C/ County/ State]]-Table336789101112131415[[#This Row],[2025 Rate]]</f>
        <v>2.79</v>
      </c>
    </row>
    <row r="1446" spans="1:10" x14ac:dyDescent="0.2">
      <c r="A1446" s="93" t="s">
        <v>1211</v>
      </c>
      <c r="B1446" s="94" t="s">
        <v>98</v>
      </c>
      <c r="C1446" s="95">
        <v>2022</v>
      </c>
      <c r="D1446" s="96" t="s">
        <v>205</v>
      </c>
      <c r="F1446" s="101">
        <v>30.07</v>
      </c>
      <c r="I1446" s="101">
        <v>27.28</v>
      </c>
      <c r="J1446" s="99">
        <f>Table336789101112131415[[#This Row],[Sched C/ County/ State]]-Table336789101112131415[[#This Row],[2025 Rate]]</f>
        <v>2.79</v>
      </c>
    </row>
    <row r="1447" spans="1:10" x14ac:dyDescent="0.2">
      <c r="A1447" s="93" t="s">
        <v>1212</v>
      </c>
      <c r="B1447" s="94" t="s">
        <v>1213</v>
      </c>
      <c r="C1447" s="95">
        <v>2022</v>
      </c>
      <c r="D1447" s="96" t="s">
        <v>205</v>
      </c>
      <c r="E1447" s="96" t="s">
        <v>853</v>
      </c>
      <c r="F1447" s="101">
        <v>11.55</v>
      </c>
      <c r="I1447" s="101">
        <v>10.81</v>
      </c>
      <c r="J1447" s="99">
        <f>Table336789101112131415[[#This Row],[Sched C/ County/ State]]-Table336789101112131415[[#This Row],[2025 Rate]]</f>
        <v>0.74</v>
      </c>
    </row>
    <row r="1448" spans="1:10" x14ac:dyDescent="0.2">
      <c r="A1448" s="93" t="s">
        <v>1214</v>
      </c>
      <c r="B1448" s="94" t="s">
        <v>98</v>
      </c>
      <c r="C1448" s="95">
        <v>2023</v>
      </c>
      <c r="D1448" s="96" t="s">
        <v>205</v>
      </c>
      <c r="F1448" s="101">
        <v>30.07</v>
      </c>
      <c r="I1448" s="101">
        <v>27.28</v>
      </c>
      <c r="J1448" s="99">
        <f>Table336789101112131415[[#This Row],[Sched C/ County/ State]]-Table336789101112131415[[#This Row],[2025 Rate]]</f>
        <v>2.79</v>
      </c>
    </row>
    <row r="1449" spans="1:10" x14ac:dyDescent="0.2">
      <c r="A1449" s="93" t="s">
        <v>1215</v>
      </c>
      <c r="B1449" s="94" t="s">
        <v>889</v>
      </c>
      <c r="C1449" s="95">
        <v>2022</v>
      </c>
      <c r="D1449" s="96" t="s">
        <v>205</v>
      </c>
      <c r="F1449" s="101">
        <v>7.9</v>
      </c>
      <c r="I1449" s="101">
        <v>7.39</v>
      </c>
      <c r="J1449" s="99">
        <f>Table336789101112131415[[#This Row],[Sched C/ County/ State]]-Table336789101112131415[[#This Row],[2025 Rate]]</f>
        <v>0.51</v>
      </c>
    </row>
    <row r="1450" spans="1:10" x14ac:dyDescent="0.2">
      <c r="A1450" s="93" t="s">
        <v>1216</v>
      </c>
      <c r="B1450" s="94" t="s">
        <v>190</v>
      </c>
      <c r="C1450" s="95">
        <v>2022</v>
      </c>
      <c r="D1450" s="96" t="s">
        <v>205</v>
      </c>
      <c r="E1450" s="96" t="s">
        <v>1217</v>
      </c>
      <c r="F1450" s="101">
        <v>1.63</v>
      </c>
      <c r="I1450" s="101">
        <v>1.51</v>
      </c>
      <c r="J1450" s="99">
        <f>Table336789101112131415[[#This Row],[Sched C/ County/ State]]-Table336789101112131415[[#This Row],[2025 Rate]]</f>
        <v>0.12</v>
      </c>
    </row>
    <row r="1451" spans="1:10" x14ac:dyDescent="0.2">
      <c r="A1451" s="93" t="s">
        <v>1218</v>
      </c>
      <c r="B1451" s="94" t="s">
        <v>1219</v>
      </c>
      <c r="C1451" s="95">
        <v>2024</v>
      </c>
      <c r="D1451" s="96" t="s">
        <v>1219</v>
      </c>
      <c r="E1451" s="96" t="s">
        <v>1220</v>
      </c>
      <c r="F1451" s="101">
        <v>23.39</v>
      </c>
      <c r="I1451" s="101">
        <v>21.89</v>
      </c>
      <c r="J1451" s="99">
        <f>Table336789101112131415[[#This Row],[Sched C/ County/ State]]-Table336789101112131415[[#This Row],[2025 Rate]]</f>
        <v>1.5</v>
      </c>
    </row>
    <row r="1452" spans="1:10" x14ac:dyDescent="0.2">
      <c r="A1452" s="93" t="s">
        <v>1221</v>
      </c>
      <c r="B1452" s="94" t="s">
        <v>789</v>
      </c>
      <c r="C1452" s="95">
        <v>2024</v>
      </c>
      <c r="D1452" s="96" t="s">
        <v>789</v>
      </c>
      <c r="E1452" s="96" t="s">
        <v>1222</v>
      </c>
      <c r="F1452" s="101">
        <v>22.36</v>
      </c>
      <c r="I1452" s="101">
        <v>20.92</v>
      </c>
      <c r="J1452" s="99">
        <f>Table336789101112131415[[#This Row],[Sched C/ County/ State]]-Table336789101112131415[[#This Row],[2025 Rate]]</f>
        <v>1.44</v>
      </c>
    </row>
    <row r="1453" spans="1:10" x14ac:dyDescent="0.2">
      <c r="A1453" s="93" t="s">
        <v>1223</v>
      </c>
      <c r="B1453" s="94" t="s">
        <v>1224</v>
      </c>
      <c r="C1453" s="95">
        <v>2021</v>
      </c>
      <c r="D1453" s="96" t="s">
        <v>388</v>
      </c>
      <c r="E1453" s="96" t="s">
        <v>1225</v>
      </c>
      <c r="F1453" s="101">
        <v>36.880000000000003</v>
      </c>
      <c r="I1453" s="101">
        <v>34.51</v>
      </c>
      <c r="J1453" s="99">
        <f>Table336789101112131415[[#This Row],[Sched C/ County/ State]]-Table336789101112131415[[#This Row],[2025 Rate]]</f>
        <v>2.37</v>
      </c>
    </row>
    <row r="1454" spans="1:10" x14ac:dyDescent="0.2">
      <c r="A1454" s="93" t="s">
        <v>1226</v>
      </c>
      <c r="B1454" s="94" t="s">
        <v>387</v>
      </c>
      <c r="C1454" s="95">
        <v>2021</v>
      </c>
      <c r="D1454" s="96" t="s">
        <v>388</v>
      </c>
      <c r="E1454" s="96" t="s">
        <v>1227</v>
      </c>
      <c r="F1454" s="101">
        <v>23.39</v>
      </c>
      <c r="I1454" s="101">
        <v>21.89</v>
      </c>
      <c r="J1454" s="99">
        <f>Table336789101112131415[[#This Row],[Sched C/ County/ State]]-Table336789101112131415[[#This Row],[2025 Rate]]</f>
        <v>1.5</v>
      </c>
    </row>
    <row r="1455" spans="1:10" x14ac:dyDescent="0.2">
      <c r="A1455" s="125" t="s">
        <v>1228</v>
      </c>
      <c r="B1455" s="94" t="s">
        <v>1224</v>
      </c>
      <c r="C1455" s="126">
        <v>2023</v>
      </c>
      <c r="D1455" s="96" t="s">
        <v>388</v>
      </c>
      <c r="E1455" s="96" t="s">
        <v>1225</v>
      </c>
      <c r="F1455" s="101">
        <v>36.880000000000003</v>
      </c>
      <c r="I1455" s="101">
        <v>34.51</v>
      </c>
      <c r="J1455" s="127">
        <f>Table336789101112131415[[#This Row],[Sched C/ County/ State]]-Table336789101112131415[[#This Row],[2025 Rate]]</f>
        <v>2.37</v>
      </c>
    </row>
    <row r="1456" spans="1:10" x14ac:dyDescent="0.2">
      <c r="A1456" s="125" t="s">
        <v>1229</v>
      </c>
      <c r="B1456" s="94" t="s">
        <v>1224</v>
      </c>
      <c r="C1456" s="126">
        <v>2023</v>
      </c>
      <c r="D1456" s="96" t="s">
        <v>388</v>
      </c>
      <c r="E1456" s="96" t="s">
        <v>1225</v>
      </c>
      <c r="F1456" s="101">
        <v>36.880000000000003</v>
      </c>
      <c r="I1456" s="101">
        <v>34.51</v>
      </c>
      <c r="J1456" s="127">
        <f>Table336789101112131415[[#This Row],[Sched C/ County/ State]]-Table336789101112131415[[#This Row],[2025 Rate]]</f>
        <v>2.37</v>
      </c>
    </row>
    <row r="1457" spans="1:10" x14ac:dyDescent="0.2">
      <c r="A1457" s="125" t="s">
        <v>1230</v>
      </c>
      <c r="B1457" s="128" t="s">
        <v>387</v>
      </c>
      <c r="C1457" s="126">
        <v>2023</v>
      </c>
      <c r="D1457" s="129" t="s">
        <v>388</v>
      </c>
      <c r="E1457" s="129" t="s">
        <v>1231</v>
      </c>
      <c r="F1457" s="130">
        <v>23.39</v>
      </c>
      <c r="G1457" s="129"/>
      <c r="I1457" s="130">
        <v>21.89</v>
      </c>
      <c r="J1457" s="127">
        <f>Table336789101112131415[[#This Row],[Sched C/ County/ State]]-Table336789101112131415[[#This Row],[2025 Rate]]</f>
        <v>1.5</v>
      </c>
    </row>
  </sheetData>
  <mergeCells count="4">
    <mergeCell ref="A1:J1"/>
    <mergeCell ref="A2:E2"/>
    <mergeCell ref="F2:G2"/>
    <mergeCell ref="I2:J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Limestone</vt:lpstr>
      <vt:lpstr>Equipment Rates</vt:lpstr>
      <vt:lpstr>Limestone!Print_Area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Twp. Estimate for Limestone Resurfacing</dc:title>
  <dc:creator>Employee</dc:creator>
  <cp:lastModifiedBy>Mrazik, Seth</cp:lastModifiedBy>
  <cp:lastPrinted>2026-04-08T19:51:59Z</cp:lastPrinted>
  <dcterms:created xsi:type="dcterms:W3CDTF">1998-07-14T14:41:43Z</dcterms:created>
  <dcterms:modified xsi:type="dcterms:W3CDTF">2026-10-01T20:50:05Z</dcterms:modified>
</cp:coreProperties>
</file>